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45967</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45967</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45967</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45967</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45967</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45967</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34929-2024</t>
        </is>
      </c>
      <c r="B9" s="1" t="n">
        <v>45527.44895833333</v>
      </c>
      <c r="C9" s="1" t="n">
        <v>45967</v>
      </c>
      <c r="D9" t="inlineStr">
        <is>
          <t>DALARNAS LÄN</t>
        </is>
      </c>
      <c r="E9" t="inlineStr">
        <is>
          <t>HEDEMORA</t>
        </is>
      </c>
      <c r="F9" t="inlineStr">
        <is>
          <t>Sveaskog</t>
        </is>
      </c>
      <c r="G9" t="n">
        <v>5.1</v>
      </c>
      <c r="H9" t="n">
        <v>2</v>
      </c>
      <c r="I9" t="n">
        <v>4</v>
      </c>
      <c r="J9" t="n">
        <v>3</v>
      </c>
      <c r="K9" t="n">
        <v>1</v>
      </c>
      <c r="L9" t="n">
        <v>0</v>
      </c>
      <c r="M9" t="n">
        <v>0</v>
      </c>
      <c r="N9" t="n">
        <v>0</v>
      </c>
      <c r="O9" t="n">
        <v>4</v>
      </c>
      <c r="P9" t="n">
        <v>1</v>
      </c>
      <c r="Q9" t="n">
        <v>9</v>
      </c>
      <c r="R9" s="2" t="inlineStr">
        <is>
          <t>Sammetstaggsvamp
Gul taggsvamp
Gultoppig fingersvamp
Svart taggsvamp
Olivspindling
Rödgul trumpetsvamp
Skogsknipprot
Svavelriska
Blåsippa</t>
        </is>
      </c>
      <c r="S9">
        <f>HYPERLINK("https://klasma.github.io/Logging_2083/artfynd/A 34929-2024 artfynd.xlsx", "A 34929-2024")</f>
        <v/>
      </c>
      <c r="T9">
        <f>HYPERLINK("https://klasma.github.io/Logging_2083/kartor/A 34929-2024 karta.png", "A 34929-2024")</f>
        <v/>
      </c>
      <c r="V9">
        <f>HYPERLINK("https://klasma.github.io/Logging_2083/klagomål/A 34929-2024 FSC-klagomål.docx", "A 34929-2024")</f>
        <v/>
      </c>
      <c r="W9">
        <f>HYPERLINK("https://klasma.github.io/Logging_2083/klagomålsmail/A 34929-2024 FSC-klagomål mail.docx", "A 34929-2024")</f>
        <v/>
      </c>
      <c r="X9">
        <f>HYPERLINK("https://klasma.github.io/Logging_2083/tillsyn/A 34929-2024 tillsynsbegäran.docx", "A 34929-2024")</f>
        <v/>
      </c>
      <c r="Y9">
        <f>HYPERLINK("https://klasma.github.io/Logging_2083/tillsynsmail/A 34929-2024 tillsynsbegäran mail.docx", "A 34929-2024")</f>
        <v/>
      </c>
    </row>
    <row r="10" ht="15" customHeight="1">
      <c r="A10" t="inlineStr">
        <is>
          <t>A 62040-2021</t>
        </is>
      </c>
      <c r="B10" s="1" t="n">
        <v>44502</v>
      </c>
      <c r="C10" s="1" t="n">
        <v>45967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45967</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66541-2020</t>
        </is>
      </c>
      <c r="B12" s="1" t="n">
        <v>44179</v>
      </c>
      <c r="C12" s="1" t="n">
        <v>45967</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45277-2025</t>
        </is>
      </c>
      <c r="B13" s="1" t="n">
        <v>45919.71271990741</v>
      </c>
      <c r="C13" s="1" t="n">
        <v>45967</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58505-2022</t>
        </is>
      </c>
      <c r="B14" s="1" t="n">
        <v>44902</v>
      </c>
      <c r="C14" s="1" t="n">
        <v>45967</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58505-2022 artfynd.xlsx", "A 58505-2022")</f>
        <v/>
      </c>
      <c r="T14">
        <f>HYPERLINK("https://klasma.github.io/Logging_2083/kartor/A 58505-2022 karta.png", "A 58505-2022")</f>
        <v/>
      </c>
      <c r="U14">
        <f>HYPERLINK("https://klasma.github.io/Logging_2083/knärot/A 58505-2022 karta knärot.png", "A 58505-2022")</f>
        <v/>
      </c>
      <c r="V14">
        <f>HYPERLINK("https://klasma.github.io/Logging_2083/klagomål/A 58505-2022 FSC-klagomål.docx", "A 58505-2022")</f>
        <v/>
      </c>
      <c r="W14">
        <f>HYPERLINK("https://klasma.github.io/Logging_2083/klagomålsmail/A 58505-2022 FSC-klagomål mail.docx", "A 58505-2022")</f>
        <v/>
      </c>
      <c r="X14">
        <f>HYPERLINK("https://klasma.github.io/Logging_2083/tillsyn/A 58505-2022 tillsynsbegäran.docx", "A 58505-2022")</f>
        <v/>
      </c>
      <c r="Y14">
        <f>HYPERLINK("https://klasma.github.io/Logging_2083/tillsynsmail/A 58505-2022 tillsynsbegäran mail.docx", "A 58505-2022")</f>
        <v/>
      </c>
      <c r="Z14">
        <f>HYPERLINK("https://klasma.github.io/Logging_2083/fåglar/A 58505-2022 prioriterade fågelarter.docx", "A 58505-2022")</f>
        <v/>
      </c>
    </row>
    <row r="15" ht="15" customHeight="1">
      <c r="A15" t="inlineStr">
        <is>
          <t>A 38724-2025</t>
        </is>
      </c>
      <c r="B15" s="1" t="n">
        <v>45887.29802083333</v>
      </c>
      <c r="C15" s="1" t="n">
        <v>45967</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49269-2024</t>
        </is>
      </c>
      <c r="B16" s="1" t="n">
        <v>45595.49747685185</v>
      </c>
      <c r="C16" s="1" t="n">
        <v>45967</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34931-2024</t>
        </is>
      </c>
      <c r="B17" s="1" t="n">
        <v>45527.45292824074</v>
      </c>
      <c r="C17" s="1" t="n">
        <v>45967</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34928-2024</t>
        </is>
      </c>
      <c r="B18" s="1" t="n">
        <v>45527.44613425926</v>
      </c>
      <c r="C18" s="1" t="n">
        <v>45967</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38725-2025</t>
        </is>
      </c>
      <c r="B19" s="1" t="n">
        <v>45887.30237268518</v>
      </c>
      <c r="C19" s="1" t="n">
        <v>45967</v>
      </c>
      <c r="D19" t="inlineStr">
        <is>
          <t>DALARNAS LÄN</t>
        </is>
      </c>
      <c r="E19" t="inlineStr">
        <is>
          <t>HEDEMORA</t>
        </is>
      </c>
      <c r="G19" t="n">
        <v>8.199999999999999</v>
      </c>
      <c r="H19" t="n">
        <v>0</v>
      </c>
      <c r="I19" t="n">
        <v>3</v>
      </c>
      <c r="J19" t="n">
        <v>2</v>
      </c>
      <c r="K19" t="n">
        <v>2</v>
      </c>
      <c r="L19" t="n">
        <v>0</v>
      </c>
      <c r="M19" t="n">
        <v>0</v>
      </c>
      <c r="N19" t="n">
        <v>0</v>
      </c>
      <c r="O19" t="n">
        <v>4</v>
      </c>
      <c r="P19" t="n">
        <v>2</v>
      </c>
      <c r="Q19" t="n">
        <v>7</v>
      </c>
      <c r="R19" s="2" t="inlineStr">
        <is>
          <t>Blåfotad fagerspindling
Grangråticka
Odörspindling
Persiljespindling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45872-2021</t>
        </is>
      </c>
      <c r="B20" s="1" t="n">
        <v>44441</v>
      </c>
      <c r="C20" s="1" t="n">
        <v>45967</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45967</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45967</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45967</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992-2024</t>
        </is>
      </c>
      <c r="B24" s="1" t="n">
        <v>45301</v>
      </c>
      <c r="C24" s="1" t="n">
        <v>45967</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45967</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45967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45967</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45967</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45967</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45967</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45967</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45967</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451-2025</t>
        </is>
      </c>
      <c r="B33" s="1" t="n">
        <v>45664.39991898148</v>
      </c>
      <c r="C33" s="1" t="n">
        <v>45967</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19352-2024</t>
        </is>
      </c>
      <c r="B34" s="1" t="n">
        <v>45429.29493055555</v>
      </c>
      <c r="C34" s="1" t="n">
        <v>45967</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56625-2024</t>
        </is>
      </c>
      <c r="B35" s="1" t="n">
        <v>45625</v>
      </c>
      <c r="C35" s="1" t="n">
        <v>45967</v>
      </c>
      <c r="D35" t="inlineStr">
        <is>
          <t>DALARNAS LÄN</t>
        </is>
      </c>
      <c r="E35" t="inlineStr">
        <is>
          <t>HEDEMORA</t>
        </is>
      </c>
      <c r="F35" t="inlineStr">
        <is>
          <t>Sveaskog</t>
        </is>
      </c>
      <c r="G35" t="n">
        <v>16.8</v>
      </c>
      <c r="H35" t="n">
        <v>1</v>
      </c>
      <c r="I35" t="n">
        <v>1</v>
      </c>
      <c r="J35" t="n">
        <v>0</v>
      </c>
      <c r="K35" t="n">
        <v>1</v>
      </c>
      <c r="L35" t="n">
        <v>0</v>
      </c>
      <c r="M35" t="n">
        <v>0</v>
      </c>
      <c r="N35" t="n">
        <v>0</v>
      </c>
      <c r="O35" t="n">
        <v>1</v>
      </c>
      <c r="P35" t="n">
        <v>1</v>
      </c>
      <c r="Q35" t="n">
        <v>2</v>
      </c>
      <c r="R35" s="2" t="inlineStr">
        <is>
          <t>Knärot
Dropptaggsvamp</t>
        </is>
      </c>
      <c r="S35">
        <f>HYPERLINK("https://klasma.github.io/Logging_2083/artfynd/A 56625-2024 artfynd.xlsx", "A 56625-2024")</f>
        <v/>
      </c>
      <c r="T35">
        <f>HYPERLINK("https://klasma.github.io/Logging_2083/kartor/A 56625-2024 karta.png", "A 56625-2024")</f>
        <v/>
      </c>
      <c r="U35">
        <f>HYPERLINK("https://klasma.github.io/Logging_2083/knärot/A 56625-2024 karta knärot.png", "A 56625-2024")</f>
        <v/>
      </c>
      <c r="V35">
        <f>HYPERLINK("https://klasma.github.io/Logging_2083/klagomål/A 56625-2024 FSC-klagomål.docx", "A 56625-2024")</f>
        <v/>
      </c>
      <c r="W35">
        <f>HYPERLINK("https://klasma.github.io/Logging_2083/klagomålsmail/A 56625-2024 FSC-klagomål mail.docx", "A 56625-2024")</f>
        <v/>
      </c>
      <c r="X35">
        <f>HYPERLINK("https://klasma.github.io/Logging_2083/tillsyn/A 56625-2024 tillsynsbegäran.docx", "A 56625-2024")</f>
        <v/>
      </c>
      <c r="Y35">
        <f>HYPERLINK("https://klasma.github.io/Logging_2083/tillsynsmail/A 56625-2024 tillsynsbegäran mail.docx", "A 56625-2024")</f>
        <v/>
      </c>
    </row>
    <row r="36" ht="15" customHeight="1">
      <c r="A36" t="inlineStr">
        <is>
          <t>A 45884-2021</t>
        </is>
      </c>
      <c r="B36" s="1" t="n">
        <v>44441</v>
      </c>
      <c r="C36" s="1" t="n">
        <v>45967</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41332-2025</t>
        </is>
      </c>
      <c r="B37" s="1" t="n">
        <v>45899.35592592593</v>
      </c>
      <c r="C37" s="1" t="n">
        <v>45967</v>
      </c>
      <c r="D37" t="inlineStr">
        <is>
          <t>DALARNAS LÄN</t>
        </is>
      </c>
      <c r="E37" t="inlineStr">
        <is>
          <t>HEDEMORA</t>
        </is>
      </c>
      <c r="F37" t="inlineStr">
        <is>
          <t>Sveaskog</t>
        </is>
      </c>
      <c r="G37" t="n">
        <v>9.4</v>
      </c>
      <c r="H37" t="n">
        <v>2</v>
      </c>
      <c r="I37" t="n">
        <v>0</v>
      </c>
      <c r="J37" t="n">
        <v>0</v>
      </c>
      <c r="K37" t="n">
        <v>0</v>
      </c>
      <c r="L37" t="n">
        <v>0</v>
      </c>
      <c r="M37" t="n">
        <v>0</v>
      </c>
      <c r="N37" t="n">
        <v>0</v>
      </c>
      <c r="O37" t="n">
        <v>0</v>
      </c>
      <c r="P37" t="n">
        <v>0</v>
      </c>
      <c r="Q37" t="n">
        <v>2</v>
      </c>
      <c r="R37" s="2" t="inlineStr">
        <is>
          <t>Orre
Tjäder</t>
        </is>
      </c>
      <c r="S37">
        <f>HYPERLINK("https://klasma.github.io/Logging_2083/artfynd/A 41332-2025 artfynd.xlsx", "A 41332-2025")</f>
        <v/>
      </c>
      <c r="T37">
        <f>HYPERLINK("https://klasma.github.io/Logging_2083/kartor/A 41332-2025 karta.png", "A 41332-2025")</f>
        <v/>
      </c>
      <c r="V37">
        <f>HYPERLINK("https://klasma.github.io/Logging_2083/klagomål/A 41332-2025 FSC-klagomål.docx", "A 41332-2025")</f>
        <v/>
      </c>
      <c r="W37">
        <f>HYPERLINK("https://klasma.github.io/Logging_2083/klagomålsmail/A 41332-2025 FSC-klagomål mail.docx", "A 41332-2025")</f>
        <v/>
      </c>
      <c r="X37">
        <f>HYPERLINK("https://klasma.github.io/Logging_2083/tillsyn/A 41332-2025 tillsynsbegäran.docx", "A 41332-2025")</f>
        <v/>
      </c>
      <c r="Y37">
        <f>HYPERLINK("https://klasma.github.io/Logging_2083/tillsynsmail/A 41332-2025 tillsynsbegäran mail.docx", "A 41332-2025")</f>
        <v/>
      </c>
      <c r="Z37">
        <f>HYPERLINK("https://klasma.github.io/Logging_2083/fåglar/A 41332-2025 prioriterade fågelarter.docx", "A 41332-2025")</f>
        <v/>
      </c>
    </row>
    <row r="38" ht="15" customHeight="1">
      <c r="A38" t="inlineStr">
        <is>
          <t>A 59035-2023</t>
        </is>
      </c>
      <c r="B38" s="1" t="n">
        <v>45252</v>
      </c>
      <c r="C38" s="1" t="n">
        <v>45967</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43679-2025</t>
        </is>
      </c>
      <c r="B39" s="1" t="n">
        <v>45912.36710648148</v>
      </c>
      <c r="C39" s="1" t="n">
        <v>45967</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43681-2025</t>
        </is>
      </c>
      <c r="B40" s="1" t="n">
        <v>45912.37243055556</v>
      </c>
      <c r="C40" s="1" t="n">
        <v>45967</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1518-2025</t>
        </is>
      </c>
      <c r="B41" s="1" t="n">
        <v>45670</v>
      </c>
      <c r="C41" s="1" t="n">
        <v>45967</v>
      </c>
      <c r="D41" t="inlineStr">
        <is>
          <t>DALARNAS LÄN</t>
        </is>
      </c>
      <c r="E41" t="inlineStr">
        <is>
          <t>HEDEMORA</t>
        </is>
      </c>
      <c r="G41" t="n">
        <v>3.8</v>
      </c>
      <c r="H41" t="n">
        <v>1</v>
      </c>
      <c r="I41" t="n">
        <v>0</v>
      </c>
      <c r="J41" t="n">
        <v>1</v>
      </c>
      <c r="K41" t="n">
        <v>1</v>
      </c>
      <c r="L41" t="n">
        <v>0</v>
      </c>
      <c r="M41" t="n">
        <v>0</v>
      </c>
      <c r="N41" t="n">
        <v>0</v>
      </c>
      <c r="O41" t="n">
        <v>2</v>
      </c>
      <c r="P41" t="n">
        <v>1</v>
      </c>
      <c r="Q41" t="n">
        <v>2</v>
      </c>
      <c r="R41" s="2" t="inlineStr">
        <is>
          <t>Knärot
Ullticka</t>
        </is>
      </c>
      <c r="S41">
        <f>HYPERLINK("https://klasma.github.io/Logging_2083/artfynd/A 1518-2025 artfynd.xlsx", "A 1518-2025")</f>
        <v/>
      </c>
      <c r="T41">
        <f>HYPERLINK("https://klasma.github.io/Logging_2083/kartor/A 1518-2025 karta.png", "A 1518-2025")</f>
        <v/>
      </c>
      <c r="U41">
        <f>HYPERLINK("https://klasma.github.io/Logging_2083/knärot/A 1518-2025 karta knärot.png", "A 1518-2025")</f>
        <v/>
      </c>
      <c r="V41">
        <f>HYPERLINK("https://klasma.github.io/Logging_2083/klagomål/A 1518-2025 FSC-klagomål.docx", "A 1518-2025")</f>
        <v/>
      </c>
      <c r="W41">
        <f>HYPERLINK("https://klasma.github.io/Logging_2083/klagomålsmail/A 1518-2025 FSC-klagomål mail.docx", "A 1518-2025")</f>
        <v/>
      </c>
      <c r="X41">
        <f>HYPERLINK("https://klasma.github.io/Logging_2083/tillsyn/A 1518-2025 tillsynsbegäran.docx", "A 1518-2025")</f>
        <v/>
      </c>
      <c r="Y41">
        <f>HYPERLINK("https://klasma.github.io/Logging_2083/tillsynsmail/A 1518-2025 tillsynsbegäran mail.docx", "A 1518-2025")</f>
        <v/>
      </c>
    </row>
    <row r="42" ht="15" customHeight="1">
      <c r="A42" t="inlineStr">
        <is>
          <t>A 53915-2022</t>
        </is>
      </c>
      <c r="B42" s="1" t="n">
        <v>44880.87587962963</v>
      </c>
      <c r="C42" s="1" t="n">
        <v>45967</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45967</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45967</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63542-2023</t>
        </is>
      </c>
      <c r="B45" s="1" t="n">
        <v>45275.32708333333</v>
      </c>
      <c r="C45" s="1" t="n">
        <v>45967</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49889-2022</t>
        </is>
      </c>
      <c r="B46" s="1" t="n">
        <v>44864</v>
      </c>
      <c r="C46" s="1" t="n">
        <v>45967</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53031-2023</t>
        </is>
      </c>
      <c r="B47" s="1" t="n">
        <v>45226</v>
      </c>
      <c r="C47" s="1" t="n">
        <v>45967</v>
      </c>
      <c r="D47" t="inlineStr">
        <is>
          <t>DALARNAS LÄN</t>
        </is>
      </c>
      <c r="E47" t="inlineStr">
        <is>
          <t>HEDEMORA</t>
        </is>
      </c>
      <c r="F47" t="inlineStr">
        <is>
          <t>Sveaskog</t>
        </is>
      </c>
      <c r="G47" t="n">
        <v>6.9</v>
      </c>
      <c r="H47" t="n">
        <v>1</v>
      </c>
      <c r="I47" t="n">
        <v>0</v>
      </c>
      <c r="J47" t="n">
        <v>1</v>
      </c>
      <c r="K47" t="n">
        <v>0</v>
      </c>
      <c r="L47" t="n">
        <v>0</v>
      </c>
      <c r="M47" t="n">
        <v>0</v>
      </c>
      <c r="N47" t="n">
        <v>0</v>
      </c>
      <c r="O47" t="n">
        <v>1</v>
      </c>
      <c r="P47" t="n">
        <v>0</v>
      </c>
      <c r="Q47" t="n">
        <v>1</v>
      </c>
      <c r="R47" s="2" t="inlineStr">
        <is>
          <t>Talltita</t>
        </is>
      </c>
      <c r="S47">
        <f>HYPERLINK("https://klasma.github.io/Logging_2083/artfynd/A 53031-2023 artfynd.xlsx", "A 53031-2023")</f>
        <v/>
      </c>
      <c r="T47">
        <f>HYPERLINK("https://klasma.github.io/Logging_2083/kartor/A 53031-2023 karta.png", "A 53031-2023")</f>
        <v/>
      </c>
      <c r="V47">
        <f>HYPERLINK("https://klasma.github.io/Logging_2083/klagomål/A 53031-2023 FSC-klagomål.docx", "A 53031-2023")</f>
        <v/>
      </c>
      <c r="W47">
        <f>HYPERLINK("https://klasma.github.io/Logging_2083/klagomålsmail/A 53031-2023 FSC-klagomål mail.docx", "A 53031-2023")</f>
        <v/>
      </c>
      <c r="X47">
        <f>HYPERLINK("https://klasma.github.io/Logging_2083/tillsyn/A 53031-2023 tillsynsbegäran.docx", "A 53031-2023")</f>
        <v/>
      </c>
      <c r="Y47">
        <f>HYPERLINK("https://klasma.github.io/Logging_2083/tillsynsmail/A 53031-2023 tillsynsbegäran mail.docx", "A 53031-2023")</f>
        <v/>
      </c>
      <c r="Z47">
        <f>HYPERLINK("https://klasma.github.io/Logging_2083/fåglar/A 53031-2023 prioriterade fågelarter.docx", "A 53031-2023")</f>
        <v/>
      </c>
    </row>
    <row r="48" ht="15" customHeight="1">
      <c r="A48" t="inlineStr">
        <is>
          <t>A 60017-2024</t>
        </is>
      </c>
      <c r="B48" s="1" t="n">
        <v>45642</v>
      </c>
      <c r="C48" s="1" t="n">
        <v>45967</v>
      </c>
      <c r="D48" t="inlineStr">
        <is>
          <t>DALARNAS LÄN</t>
        </is>
      </c>
      <c r="E48" t="inlineStr">
        <is>
          <t>HEDEMORA</t>
        </is>
      </c>
      <c r="F48" t="inlineStr">
        <is>
          <t>Sveaskog</t>
        </is>
      </c>
      <c r="G48" t="n">
        <v>0.5</v>
      </c>
      <c r="H48" t="n">
        <v>1</v>
      </c>
      <c r="I48" t="n">
        <v>0</v>
      </c>
      <c r="J48" t="n">
        <v>0</v>
      </c>
      <c r="K48" t="n">
        <v>1</v>
      </c>
      <c r="L48" t="n">
        <v>0</v>
      </c>
      <c r="M48" t="n">
        <v>0</v>
      </c>
      <c r="N48" t="n">
        <v>0</v>
      </c>
      <c r="O48" t="n">
        <v>1</v>
      </c>
      <c r="P48" t="n">
        <v>1</v>
      </c>
      <c r="Q48" t="n">
        <v>1</v>
      </c>
      <c r="R48" s="2" t="inlineStr">
        <is>
          <t>Knärot</t>
        </is>
      </c>
      <c r="S48">
        <f>HYPERLINK("https://klasma.github.io/Logging_2083/artfynd/A 60017-2024 artfynd.xlsx", "A 60017-2024")</f>
        <v/>
      </c>
      <c r="T48">
        <f>HYPERLINK("https://klasma.github.io/Logging_2083/kartor/A 60017-2024 karta.png", "A 60017-2024")</f>
        <v/>
      </c>
      <c r="U48">
        <f>HYPERLINK("https://klasma.github.io/Logging_2083/knärot/A 60017-2024 karta knärot.png", "A 60017-2024")</f>
        <v/>
      </c>
      <c r="V48">
        <f>HYPERLINK("https://klasma.github.io/Logging_2083/klagomål/A 60017-2024 FSC-klagomål.docx", "A 60017-2024")</f>
        <v/>
      </c>
      <c r="W48">
        <f>HYPERLINK("https://klasma.github.io/Logging_2083/klagomålsmail/A 60017-2024 FSC-klagomål mail.docx", "A 60017-2024")</f>
        <v/>
      </c>
      <c r="X48">
        <f>HYPERLINK("https://klasma.github.io/Logging_2083/tillsyn/A 60017-2024 tillsynsbegäran.docx", "A 60017-2024")</f>
        <v/>
      </c>
      <c r="Y48">
        <f>HYPERLINK("https://klasma.github.io/Logging_2083/tillsynsmail/A 60017-2024 tillsynsbegäran mail.docx", "A 60017-2024")</f>
        <v/>
      </c>
    </row>
    <row r="49" ht="15" customHeight="1">
      <c r="A49" t="inlineStr">
        <is>
          <t>A 39396-2025</t>
        </is>
      </c>
      <c r="B49" s="1" t="n">
        <v>45889.63289351852</v>
      </c>
      <c r="C49" s="1" t="n">
        <v>45967</v>
      </c>
      <c r="D49" t="inlineStr">
        <is>
          <t>DALARNAS LÄN</t>
        </is>
      </c>
      <c r="E49" t="inlineStr">
        <is>
          <t>HEDEMORA</t>
        </is>
      </c>
      <c r="F49" t="inlineStr">
        <is>
          <t>Sveaskog</t>
        </is>
      </c>
      <c r="G49" t="n">
        <v>4.3</v>
      </c>
      <c r="H49" t="n">
        <v>1</v>
      </c>
      <c r="I49" t="n">
        <v>0</v>
      </c>
      <c r="J49" t="n">
        <v>0</v>
      </c>
      <c r="K49" t="n">
        <v>1</v>
      </c>
      <c r="L49" t="n">
        <v>0</v>
      </c>
      <c r="M49" t="n">
        <v>0</v>
      </c>
      <c r="N49" t="n">
        <v>0</v>
      </c>
      <c r="O49" t="n">
        <v>1</v>
      </c>
      <c r="P49" t="n">
        <v>1</v>
      </c>
      <c r="Q49" t="n">
        <v>1</v>
      </c>
      <c r="R49" s="2" t="inlineStr">
        <is>
          <t>Knärot</t>
        </is>
      </c>
      <c r="S49">
        <f>HYPERLINK("https://klasma.github.io/Logging_2083/artfynd/A 39396-2025 artfynd.xlsx", "A 39396-2025")</f>
        <v/>
      </c>
      <c r="T49">
        <f>HYPERLINK("https://klasma.github.io/Logging_2083/kartor/A 39396-2025 karta.png", "A 39396-2025")</f>
        <v/>
      </c>
      <c r="U49">
        <f>HYPERLINK("https://klasma.github.io/Logging_2083/knärot/A 39396-2025 karta knärot.png", "A 39396-2025")</f>
        <v/>
      </c>
      <c r="V49">
        <f>HYPERLINK("https://klasma.github.io/Logging_2083/klagomål/A 39396-2025 FSC-klagomål.docx", "A 39396-2025")</f>
        <v/>
      </c>
      <c r="W49">
        <f>HYPERLINK("https://klasma.github.io/Logging_2083/klagomålsmail/A 39396-2025 FSC-klagomål mail.docx", "A 39396-2025")</f>
        <v/>
      </c>
      <c r="X49">
        <f>HYPERLINK("https://klasma.github.io/Logging_2083/tillsyn/A 39396-2025 tillsynsbegäran.docx", "A 39396-2025")</f>
        <v/>
      </c>
      <c r="Y49">
        <f>HYPERLINK("https://klasma.github.io/Logging_2083/tillsynsmail/A 39396-2025 tillsynsbegäran mail.docx", "A 39396-2025")</f>
        <v/>
      </c>
    </row>
    <row r="50" ht="15" customHeight="1">
      <c r="A50" t="inlineStr">
        <is>
          <t>A 48382-2025</t>
        </is>
      </c>
      <c r="B50" s="1" t="n">
        <v>45933.82043981482</v>
      </c>
      <c r="C50" s="1" t="n">
        <v>45967</v>
      </c>
      <c r="D50" t="inlineStr">
        <is>
          <t>DALARNAS LÄN</t>
        </is>
      </c>
      <c r="E50" t="inlineStr">
        <is>
          <t>HEDEMORA</t>
        </is>
      </c>
      <c r="F50" t="inlineStr">
        <is>
          <t>Sveaskog</t>
        </is>
      </c>
      <c r="G50" t="n">
        <v>1.9</v>
      </c>
      <c r="H50" t="n">
        <v>1</v>
      </c>
      <c r="I50" t="n">
        <v>0</v>
      </c>
      <c r="J50" t="n">
        <v>1</v>
      </c>
      <c r="K50" t="n">
        <v>0</v>
      </c>
      <c r="L50" t="n">
        <v>0</v>
      </c>
      <c r="M50" t="n">
        <v>0</v>
      </c>
      <c r="N50" t="n">
        <v>0</v>
      </c>
      <c r="O50" t="n">
        <v>1</v>
      </c>
      <c r="P50" t="n">
        <v>0</v>
      </c>
      <c r="Q50" t="n">
        <v>1</v>
      </c>
      <c r="R50" s="2" t="inlineStr">
        <is>
          <t>Svartvit flugsnappare</t>
        </is>
      </c>
      <c r="S50">
        <f>HYPERLINK("https://klasma.github.io/Logging_2083/artfynd/A 48382-2025 artfynd.xlsx", "A 48382-2025")</f>
        <v/>
      </c>
      <c r="T50">
        <f>HYPERLINK("https://klasma.github.io/Logging_2083/kartor/A 48382-2025 karta.png", "A 48382-2025")</f>
        <v/>
      </c>
      <c r="U50">
        <f>HYPERLINK("https://klasma.github.io/Logging_2083/knärot/A 48382-2025 karta knärot.png", "A 48382-2025")</f>
        <v/>
      </c>
      <c r="V50">
        <f>HYPERLINK("https://klasma.github.io/Logging_2083/klagomål/A 48382-2025 FSC-klagomål.docx", "A 48382-2025")</f>
        <v/>
      </c>
      <c r="W50">
        <f>HYPERLINK("https://klasma.github.io/Logging_2083/klagomålsmail/A 48382-2025 FSC-klagomål mail.docx", "A 48382-2025")</f>
        <v/>
      </c>
      <c r="X50">
        <f>HYPERLINK("https://klasma.github.io/Logging_2083/tillsyn/A 48382-2025 tillsynsbegäran.docx", "A 48382-2025")</f>
        <v/>
      </c>
      <c r="Y50">
        <f>HYPERLINK("https://klasma.github.io/Logging_2083/tillsynsmail/A 48382-2025 tillsynsbegäran mail.docx", "A 48382-2025")</f>
        <v/>
      </c>
      <c r="Z50">
        <f>HYPERLINK("https://klasma.github.io/Logging_2083/fåglar/A 48382-2025 prioriterade fågelarter.docx", "A 48382-2025")</f>
        <v/>
      </c>
    </row>
    <row r="51" ht="15" customHeight="1">
      <c r="A51" t="inlineStr">
        <is>
          <t>A 52941-2024</t>
        </is>
      </c>
      <c r="B51" s="1" t="n">
        <v>45610.80650462963</v>
      </c>
      <c r="C51" s="1" t="n">
        <v>45967</v>
      </c>
      <c r="D51" t="inlineStr">
        <is>
          <t>DALARNAS LÄN</t>
        </is>
      </c>
      <c r="E51" t="inlineStr">
        <is>
          <t>HEDEMORA</t>
        </is>
      </c>
      <c r="F51" t="inlineStr">
        <is>
          <t>Sveaskog</t>
        </is>
      </c>
      <c r="G51" t="n">
        <v>18.3</v>
      </c>
      <c r="H51" t="n">
        <v>1</v>
      </c>
      <c r="I51" t="n">
        <v>0</v>
      </c>
      <c r="J51" t="n">
        <v>0</v>
      </c>
      <c r="K51" t="n">
        <v>1</v>
      </c>
      <c r="L51" t="n">
        <v>0</v>
      </c>
      <c r="M51" t="n">
        <v>0</v>
      </c>
      <c r="N51" t="n">
        <v>0</v>
      </c>
      <c r="O51" t="n">
        <v>1</v>
      </c>
      <c r="P51" t="n">
        <v>1</v>
      </c>
      <c r="Q51" t="n">
        <v>1</v>
      </c>
      <c r="R51" s="2" t="inlineStr">
        <is>
          <t>Knärot</t>
        </is>
      </c>
      <c r="S51">
        <f>HYPERLINK("https://klasma.github.io/Logging_2083/artfynd/A 52941-2024 artfynd.xlsx", "A 52941-2024")</f>
        <v/>
      </c>
      <c r="T51">
        <f>HYPERLINK("https://klasma.github.io/Logging_2083/kartor/A 52941-2024 karta.png", "A 52941-2024")</f>
        <v/>
      </c>
      <c r="U51">
        <f>HYPERLINK("https://klasma.github.io/Logging_2083/knärot/A 52941-2024 karta knärot.png", "A 52941-2024")</f>
        <v/>
      </c>
      <c r="V51">
        <f>HYPERLINK("https://klasma.github.io/Logging_2083/klagomål/A 52941-2024 FSC-klagomål.docx", "A 52941-2024")</f>
        <v/>
      </c>
      <c r="W51">
        <f>HYPERLINK("https://klasma.github.io/Logging_2083/klagomålsmail/A 52941-2024 FSC-klagomål mail.docx", "A 52941-2024")</f>
        <v/>
      </c>
      <c r="X51">
        <f>HYPERLINK("https://klasma.github.io/Logging_2083/tillsyn/A 52941-2024 tillsynsbegäran.docx", "A 52941-2024")</f>
        <v/>
      </c>
      <c r="Y51">
        <f>HYPERLINK("https://klasma.github.io/Logging_2083/tillsynsmail/A 52941-2024 tillsynsbegäran mail.docx", "A 52941-2024")</f>
        <v/>
      </c>
    </row>
    <row r="52" ht="15" customHeight="1">
      <c r="A52" t="inlineStr">
        <is>
          <t>A 13986-2023</t>
        </is>
      </c>
      <c r="B52" s="1" t="n">
        <v>45008</v>
      </c>
      <c r="C52" s="1" t="n">
        <v>45967</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41333-2025</t>
        </is>
      </c>
      <c r="B53" s="1" t="n">
        <v>45899.35854166667</v>
      </c>
      <c r="C53" s="1" t="n">
        <v>45967</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53924-2024</t>
        </is>
      </c>
      <c r="B54" s="1" t="n">
        <v>45615</v>
      </c>
      <c r="C54" s="1" t="n">
        <v>45967</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42614-2024</t>
        </is>
      </c>
      <c r="B55" s="1" t="n">
        <v>45565</v>
      </c>
      <c r="C55" s="1" t="n">
        <v>45967</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23815-2023</t>
        </is>
      </c>
      <c r="B56" s="1" t="n">
        <v>45078</v>
      </c>
      <c r="C56" s="1" t="n">
        <v>45967</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17590-2025</t>
        </is>
      </c>
      <c r="B57" s="1" t="n">
        <v>45757.69396990741</v>
      </c>
      <c r="C57" s="1" t="n">
        <v>45967</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51111-2021</t>
        </is>
      </c>
      <c r="B58" s="1" t="n">
        <v>44461</v>
      </c>
      <c r="C58" s="1" t="n">
        <v>45967</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41477-2023</t>
        </is>
      </c>
      <c r="B59" s="1" t="n">
        <v>45171</v>
      </c>
      <c r="C59" s="1" t="n">
        <v>45967</v>
      </c>
      <c r="D59" t="inlineStr">
        <is>
          <t>DALARNAS LÄN</t>
        </is>
      </c>
      <c r="E59" t="inlineStr">
        <is>
          <t>HEDEMORA</t>
        </is>
      </c>
      <c r="F59" t="inlineStr">
        <is>
          <t>Bergvik skog väst AB</t>
        </is>
      </c>
      <c r="G59" t="n">
        <v>9.1</v>
      </c>
      <c r="H59" t="n">
        <v>0</v>
      </c>
      <c r="I59" t="n">
        <v>1</v>
      </c>
      <c r="J59" t="n">
        <v>0</v>
      </c>
      <c r="K59" t="n">
        <v>0</v>
      </c>
      <c r="L59" t="n">
        <v>0</v>
      </c>
      <c r="M59" t="n">
        <v>0</v>
      </c>
      <c r="N59" t="n">
        <v>0</v>
      </c>
      <c r="O59" t="n">
        <v>0</v>
      </c>
      <c r="P59" t="n">
        <v>0</v>
      </c>
      <c r="Q59" t="n">
        <v>1</v>
      </c>
      <c r="R59" s="2" t="inlineStr">
        <is>
          <t>Ögonpyrola</t>
        </is>
      </c>
      <c r="S59">
        <f>HYPERLINK("https://klasma.github.io/Logging_2083/artfynd/A 41477-2023 artfynd.xlsx", "A 41477-2023")</f>
        <v/>
      </c>
      <c r="T59">
        <f>HYPERLINK("https://klasma.github.io/Logging_2083/kartor/A 41477-2023 karta.png", "A 41477-2023")</f>
        <v/>
      </c>
      <c r="V59">
        <f>HYPERLINK("https://klasma.github.io/Logging_2083/klagomål/A 41477-2023 FSC-klagomål.docx", "A 41477-2023")</f>
        <v/>
      </c>
      <c r="W59">
        <f>HYPERLINK("https://klasma.github.io/Logging_2083/klagomålsmail/A 41477-2023 FSC-klagomål mail.docx", "A 41477-2023")</f>
        <v/>
      </c>
      <c r="X59">
        <f>HYPERLINK("https://klasma.github.io/Logging_2083/tillsyn/A 41477-2023 tillsynsbegäran.docx", "A 41477-2023")</f>
        <v/>
      </c>
      <c r="Y59">
        <f>HYPERLINK("https://klasma.github.io/Logging_2083/tillsynsmail/A 41477-2023 tillsynsbegäran mail.docx", "A 41477-2023")</f>
        <v/>
      </c>
    </row>
    <row r="60" ht="15" customHeight="1">
      <c r="A60" t="inlineStr">
        <is>
          <t>A 44598-2025</t>
        </is>
      </c>
      <c r="B60" s="1" t="n">
        <v>45917.43056712963</v>
      </c>
      <c r="C60" s="1" t="n">
        <v>45967</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45967</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45291-2025</t>
        </is>
      </c>
      <c r="B62" s="1" t="n">
        <v>45920.3734837963</v>
      </c>
      <c r="C62" s="1" t="n">
        <v>45967</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45967</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28181-2025</t>
        </is>
      </c>
      <c r="B64" s="1" t="n">
        <v>45818.39921296296</v>
      </c>
      <c r="C64" s="1" t="n">
        <v>45967</v>
      </c>
      <c r="D64" t="inlineStr">
        <is>
          <t>DALARNAS LÄN</t>
        </is>
      </c>
      <c r="E64" t="inlineStr">
        <is>
          <t>HEDEMORA</t>
        </is>
      </c>
      <c r="F64" t="inlineStr">
        <is>
          <t>Sveaskog</t>
        </is>
      </c>
      <c r="G64" t="n">
        <v>2.4</v>
      </c>
      <c r="H64" t="n">
        <v>1</v>
      </c>
      <c r="I64" t="n">
        <v>1</v>
      </c>
      <c r="J64" t="n">
        <v>0</v>
      </c>
      <c r="K64" t="n">
        <v>0</v>
      </c>
      <c r="L64" t="n">
        <v>0</v>
      </c>
      <c r="M64" t="n">
        <v>0</v>
      </c>
      <c r="N64" t="n">
        <v>0</v>
      </c>
      <c r="O64" t="n">
        <v>0</v>
      </c>
      <c r="P64" t="n">
        <v>0</v>
      </c>
      <c r="Q64" t="n">
        <v>1</v>
      </c>
      <c r="R64" s="2" t="inlineStr">
        <is>
          <t>Plattlummer</t>
        </is>
      </c>
      <c r="S64">
        <f>HYPERLINK("https://klasma.github.io/Logging_2083/artfynd/A 28181-2025 artfynd.xlsx", "A 28181-2025")</f>
        <v/>
      </c>
      <c r="T64">
        <f>HYPERLINK("https://klasma.github.io/Logging_2083/kartor/A 28181-2025 karta.png", "A 28181-2025")</f>
        <v/>
      </c>
      <c r="V64">
        <f>HYPERLINK("https://klasma.github.io/Logging_2083/klagomål/A 28181-2025 FSC-klagomål.docx", "A 28181-2025")</f>
        <v/>
      </c>
      <c r="W64">
        <f>HYPERLINK("https://klasma.github.io/Logging_2083/klagomålsmail/A 28181-2025 FSC-klagomål mail.docx", "A 28181-2025")</f>
        <v/>
      </c>
      <c r="X64">
        <f>HYPERLINK("https://klasma.github.io/Logging_2083/tillsyn/A 28181-2025 tillsynsbegäran.docx", "A 28181-2025")</f>
        <v/>
      </c>
      <c r="Y64">
        <f>HYPERLINK("https://klasma.github.io/Logging_2083/tillsynsmail/A 28181-2025 tillsynsbegäran mail.docx", "A 28181-2025")</f>
        <v/>
      </c>
    </row>
    <row r="65" ht="15" customHeight="1">
      <c r="A65" t="inlineStr">
        <is>
          <t>A 33968-2025</t>
        </is>
      </c>
      <c r="B65" s="1" t="n">
        <v>45842</v>
      </c>
      <c r="C65" s="1" t="n">
        <v>45967</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15058-2025</t>
        </is>
      </c>
      <c r="B66" s="1" t="n">
        <v>45743.70716435185</v>
      </c>
      <c r="C66" s="1" t="n">
        <v>45967</v>
      </c>
      <c r="D66" t="inlineStr">
        <is>
          <t>DALARNAS LÄN</t>
        </is>
      </c>
      <c r="E66" t="inlineStr">
        <is>
          <t>HEDEMORA</t>
        </is>
      </c>
      <c r="F66" t="inlineStr">
        <is>
          <t>Sveaskog</t>
        </is>
      </c>
      <c r="G66" t="n">
        <v>4.2</v>
      </c>
      <c r="H66" t="n">
        <v>0</v>
      </c>
      <c r="I66" t="n">
        <v>1</v>
      </c>
      <c r="J66" t="n">
        <v>0</v>
      </c>
      <c r="K66" t="n">
        <v>0</v>
      </c>
      <c r="L66" t="n">
        <v>0</v>
      </c>
      <c r="M66" t="n">
        <v>0</v>
      </c>
      <c r="N66" t="n">
        <v>0</v>
      </c>
      <c r="O66" t="n">
        <v>0</v>
      </c>
      <c r="P66" t="n">
        <v>0</v>
      </c>
      <c r="Q66" t="n">
        <v>1</v>
      </c>
      <c r="R66" s="2" t="inlineStr">
        <is>
          <t>Dropptaggsvamp</t>
        </is>
      </c>
      <c r="S66">
        <f>HYPERLINK("https://klasma.github.io/Logging_2083/artfynd/A 15058-2025 artfynd.xlsx", "A 15058-2025")</f>
        <v/>
      </c>
      <c r="T66">
        <f>HYPERLINK("https://klasma.github.io/Logging_2083/kartor/A 15058-2025 karta.png", "A 15058-2025")</f>
        <v/>
      </c>
      <c r="V66">
        <f>HYPERLINK("https://klasma.github.io/Logging_2083/klagomål/A 15058-2025 FSC-klagomål.docx", "A 15058-2025")</f>
        <v/>
      </c>
      <c r="W66">
        <f>HYPERLINK("https://klasma.github.io/Logging_2083/klagomålsmail/A 15058-2025 FSC-klagomål mail.docx", "A 15058-2025")</f>
        <v/>
      </c>
      <c r="X66">
        <f>HYPERLINK("https://klasma.github.io/Logging_2083/tillsyn/A 15058-2025 tillsynsbegäran.docx", "A 15058-2025")</f>
        <v/>
      </c>
      <c r="Y66">
        <f>HYPERLINK("https://klasma.github.io/Logging_2083/tillsynsmail/A 15058-2025 tillsynsbegäran mail.docx", "A 15058-2025")</f>
        <v/>
      </c>
    </row>
    <row r="67" ht="15" customHeight="1">
      <c r="A67" t="inlineStr">
        <is>
          <t>A 19094-2025</t>
        </is>
      </c>
      <c r="B67" s="1" t="n">
        <v>45767.54942129629</v>
      </c>
      <c r="C67" s="1" t="n">
        <v>45967</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15125-2021</t>
        </is>
      </c>
      <c r="B68" s="1" t="n">
        <v>44283</v>
      </c>
      <c r="C68" s="1" t="n">
        <v>45967</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45967</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45967</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45967</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45967</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45967</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45967</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45967</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45967</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45967</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45967</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45967</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45967</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20177-2022</t>
        </is>
      </c>
      <c r="B81" s="1" t="n">
        <v>44698.52960648148</v>
      </c>
      <c r="C81" s="1" t="n">
        <v>45967</v>
      </c>
      <c r="D81" t="inlineStr">
        <is>
          <t>DALARNAS LÄN</t>
        </is>
      </c>
      <c r="E81" t="inlineStr">
        <is>
          <t>HEDEMORA</t>
        </is>
      </c>
      <c r="G81" t="n">
        <v>3.9</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45967</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45967</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35806-2022</t>
        </is>
      </c>
      <c r="B84" s="1" t="n">
        <v>44802</v>
      </c>
      <c r="C84" s="1" t="n">
        <v>45967</v>
      </c>
      <c r="D84" t="inlineStr">
        <is>
          <t>DALARNAS LÄN</t>
        </is>
      </c>
      <c r="E84" t="inlineStr">
        <is>
          <t>HEDEMORA</t>
        </is>
      </c>
      <c r="G84" t="n">
        <v>1.3</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45967</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1916-2021</t>
        </is>
      </c>
      <c r="B86" s="1" t="n">
        <v>44210</v>
      </c>
      <c r="C86" s="1" t="n">
        <v>45967</v>
      </c>
      <c r="D86" t="inlineStr">
        <is>
          <t>DALARNAS LÄN</t>
        </is>
      </c>
      <c r="E86" t="inlineStr">
        <is>
          <t>HEDEMORA</t>
        </is>
      </c>
      <c r="G86" t="n">
        <v>0.7</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45967</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45967</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45967</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45967</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45967</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45967</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52221-2021</t>
        </is>
      </c>
      <c r="B93" s="1" t="n">
        <v>44462</v>
      </c>
      <c r="C93" s="1" t="n">
        <v>45967</v>
      </c>
      <c r="D93" t="inlineStr">
        <is>
          <t>DALARNAS LÄN</t>
        </is>
      </c>
      <c r="E93" t="inlineStr">
        <is>
          <t>HEDEMORA</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36865-2022</t>
        </is>
      </c>
      <c r="B94" s="1" t="n">
        <v>44805</v>
      </c>
      <c r="C94" s="1" t="n">
        <v>45967</v>
      </c>
      <c r="D94" t="inlineStr">
        <is>
          <t>DALARNAS LÄN</t>
        </is>
      </c>
      <c r="E94" t="inlineStr">
        <is>
          <t>HEDEMORA</t>
        </is>
      </c>
      <c r="G94" t="n">
        <v>2.1</v>
      </c>
      <c r="H94" t="n">
        <v>0</v>
      </c>
      <c r="I94" t="n">
        <v>0</v>
      </c>
      <c r="J94" t="n">
        <v>0</v>
      </c>
      <c r="K94" t="n">
        <v>0</v>
      </c>
      <c r="L94" t="n">
        <v>0</v>
      </c>
      <c r="M94" t="n">
        <v>0</v>
      </c>
      <c r="N94" t="n">
        <v>0</v>
      </c>
      <c r="O94" t="n">
        <v>0</v>
      </c>
      <c r="P94" t="n">
        <v>0</v>
      </c>
      <c r="Q94" t="n">
        <v>0</v>
      </c>
      <c r="R94" s="2" t="inlineStr"/>
    </row>
    <row r="95" ht="15" customHeight="1">
      <c r="A95" t="inlineStr">
        <is>
          <t>A 50441-2021</t>
        </is>
      </c>
      <c r="B95" s="1" t="n">
        <v>44456</v>
      </c>
      <c r="C95" s="1" t="n">
        <v>45967</v>
      </c>
      <c r="D95" t="inlineStr">
        <is>
          <t>DALARNAS LÄN</t>
        </is>
      </c>
      <c r="E95" t="inlineStr">
        <is>
          <t>HEDEMORA</t>
        </is>
      </c>
      <c r="F95" t="inlineStr">
        <is>
          <t>Bergvik skog väst AB</t>
        </is>
      </c>
      <c r="G95" t="n">
        <v>6.4</v>
      </c>
      <c r="H95" t="n">
        <v>0</v>
      </c>
      <c r="I95" t="n">
        <v>0</v>
      </c>
      <c r="J95" t="n">
        <v>0</v>
      </c>
      <c r="K95" t="n">
        <v>0</v>
      </c>
      <c r="L95" t="n">
        <v>0</v>
      </c>
      <c r="M95" t="n">
        <v>0</v>
      </c>
      <c r="N95" t="n">
        <v>0</v>
      </c>
      <c r="O95" t="n">
        <v>0</v>
      </c>
      <c r="P95" t="n">
        <v>0</v>
      </c>
      <c r="Q95" t="n">
        <v>0</v>
      </c>
      <c r="R95" s="2" t="inlineStr"/>
    </row>
    <row r="96" ht="15" customHeight="1">
      <c r="A96" t="inlineStr">
        <is>
          <t>A 23329-2022</t>
        </is>
      </c>
      <c r="B96" s="1" t="n">
        <v>44720</v>
      </c>
      <c r="C96" s="1" t="n">
        <v>45967</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62305-2021</t>
        </is>
      </c>
      <c r="B97" s="1" t="n">
        <v>44502</v>
      </c>
      <c r="C97" s="1" t="n">
        <v>45967</v>
      </c>
      <c r="D97" t="inlineStr">
        <is>
          <t>DALARNAS LÄN</t>
        </is>
      </c>
      <c r="E97" t="inlineStr">
        <is>
          <t>HEDEMORA</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1666-2022</t>
        </is>
      </c>
      <c r="B98" s="1" t="n">
        <v>44574</v>
      </c>
      <c r="C98" s="1" t="n">
        <v>45967</v>
      </c>
      <c r="D98" t="inlineStr">
        <is>
          <t>DALARNAS LÄN</t>
        </is>
      </c>
      <c r="E98" t="inlineStr">
        <is>
          <t>HEDEMORA</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28105-2022</t>
        </is>
      </c>
      <c r="B99" s="1" t="n">
        <v>44746</v>
      </c>
      <c r="C99" s="1" t="n">
        <v>45967</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36943-2021</t>
        </is>
      </c>
      <c r="B100" s="1" t="n">
        <v>44393.52391203704</v>
      </c>
      <c r="C100" s="1" t="n">
        <v>45967</v>
      </c>
      <c r="D100" t="inlineStr">
        <is>
          <t>DALARNAS LÄN</t>
        </is>
      </c>
      <c r="E100" t="inlineStr">
        <is>
          <t>HEDEMORA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17464-2021</t>
        </is>
      </c>
      <c r="B101" s="1" t="n">
        <v>44299</v>
      </c>
      <c r="C101" s="1" t="n">
        <v>45967</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45967</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45967</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45967</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60418-2021</t>
        </is>
      </c>
      <c r="B105" s="1" t="n">
        <v>44495</v>
      </c>
      <c r="C105" s="1" t="n">
        <v>45967</v>
      </c>
      <c r="D105" t="inlineStr">
        <is>
          <t>DALARNAS LÄN</t>
        </is>
      </c>
      <c r="E105" t="inlineStr">
        <is>
          <t>HEDEMORA</t>
        </is>
      </c>
      <c r="G105" t="n">
        <v>0.7</v>
      </c>
      <c r="H105" t="n">
        <v>0</v>
      </c>
      <c r="I105" t="n">
        <v>0</v>
      </c>
      <c r="J105" t="n">
        <v>0</v>
      </c>
      <c r="K105" t="n">
        <v>0</v>
      </c>
      <c r="L105" t="n">
        <v>0</v>
      </c>
      <c r="M105" t="n">
        <v>0</v>
      </c>
      <c r="N105" t="n">
        <v>0</v>
      </c>
      <c r="O105" t="n">
        <v>0</v>
      </c>
      <c r="P105" t="n">
        <v>0</v>
      </c>
      <c r="Q105" t="n">
        <v>0</v>
      </c>
      <c r="R105" s="2" t="inlineStr"/>
    </row>
    <row r="106" ht="15" customHeight="1">
      <c r="A106" t="inlineStr">
        <is>
          <t>A 27238-2022</t>
        </is>
      </c>
      <c r="B106" s="1" t="n">
        <v>44741.68168981482</v>
      </c>
      <c r="C106" s="1" t="n">
        <v>45967</v>
      </c>
      <c r="D106" t="inlineStr">
        <is>
          <t>DALARNAS LÄN</t>
        </is>
      </c>
      <c r="E106" t="inlineStr">
        <is>
          <t>HEDEMORA</t>
        </is>
      </c>
      <c r="G106" t="n">
        <v>1.5</v>
      </c>
      <c r="H106" t="n">
        <v>0</v>
      </c>
      <c r="I106" t="n">
        <v>0</v>
      </c>
      <c r="J106" t="n">
        <v>0</v>
      </c>
      <c r="K106" t="n">
        <v>0</v>
      </c>
      <c r="L106" t="n">
        <v>0</v>
      </c>
      <c r="M106" t="n">
        <v>0</v>
      </c>
      <c r="N106" t="n">
        <v>0</v>
      </c>
      <c r="O106" t="n">
        <v>0</v>
      </c>
      <c r="P106" t="n">
        <v>0</v>
      </c>
      <c r="Q106" t="n">
        <v>0</v>
      </c>
      <c r="R106" s="2" t="inlineStr"/>
    </row>
    <row r="107" ht="15" customHeight="1">
      <c r="A107" t="inlineStr">
        <is>
          <t>A 57779-2020</t>
        </is>
      </c>
      <c r="B107" s="1" t="n">
        <v>44141</v>
      </c>
      <c r="C107" s="1" t="n">
        <v>45967</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40938-2021</t>
        </is>
      </c>
      <c r="B108" s="1" t="n">
        <v>44421.53498842593</v>
      </c>
      <c r="C108" s="1" t="n">
        <v>45967</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1976-2022</t>
        </is>
      </c>
      <c r="B109" s="1" t="n">
        <v>44575.54618055555</v>
      </c>
      <c r="C109" s="1" t="n">
        <v>45967</v>
      </c>
      <c r="D109" t="inlineStr">
        <is>
          <t>DALARNAS LÄN</t>
        </is>
      </c>
      <c r="E109" t="inlineStr">
        <is>
          <t>HEDEMORA</t>
        </is>
      </c>
      <c r="G109" t="n">
        <v>3.2</v>
      </c>
      <c r="H109" t="n">
        <v>0</v>
      </c>
      <c r="I109" t="n">
        <v>0</v>
      </c>
      <c r="J109" t="n">
        <v>0</v>
      </c>
      <c r="K109" t="n">
        <v>0</v>
      </c>
      <c r="L109" t="n">
        <v>0</v>
      </c>
      <c r="M109" t="n">
        <v>0</v>
      </c>
      <c r="N109" t="n">
        <v>0</v>
      </c>
      <c r="O109" t="n">
        <v>0</v>
      </c>
      <c r="P109" t="n">
        <v>0</v>
      </c>
      <c r="Q109" t="n">
        <v>0</v>
      </c>
      <c r="R109" s="2" t="inlineStr"/>
    </row>
    <row r="110" ht="15" customHeight="1">
      <c r="A110" t="inlineStr">
        <is>
          <t>A 31365-2024</t>
        </is>
      </c>
      <c r="B110" s="1" t="n">
        <v>45505.37086805556</v>
      </c>
      <c r="C110" s="1" t="n">
        <v>45967</v>
      </c>
      <c r="D110" t="inlineStr">
        <is>
          <t>DALARNAS LÄN</t>
        </is>
      </c>
      <c r="E110" t="inlineStr">
        <is>
          <t>HEDEMORA</t>
        </is>
      </c>
      <c r="G110" t="n">
        <v>0.4</v>
      </c>
      <c r="H110" t="n">
        <v>0</v>
      </c>
      <c r="I110" t="n">
        <v>0</v>
      </c>
      <c r="J110" t="n">
        <v>0</v>
      </c>
      <c r="K110" t="n">
        <v>0</v>
      </c>
      <c r="L110" t="n">
        <v>0</v>
      </c>
      <c r="M110" t="n">
        <v>0</v>
      </c>
      <c r="N110" t="n">
        <v>0</v>
      </c>
      <c r="O110" t="n">
        <v>0</v>
      </c>
      <c r="P110" t="n">
        <v>0</v>
      </c>
      <c r="Q110" t="n">
        <v>0</v>
      </c>
      <c r="R110" s="2" t="inlineStr"/>
    </row>
    <row r="111" ht="15" customHeight="1">
      <c r="A111" t="inlineStr">
        <is>
          <t>A 24486-2024</t>
        </is>
      </c>
      <c r="B111" s="1" t="n">
        <v>45459.62336805555</v>
      </c>
      <c r="C111" s="1" t="n">
        <v>45967</v>
      </c>
      <c r="D111" t="inlineStr">
        <is>
          <t>DALARNAS LÄN</t>
        </is>
      </c>
      <c r="E111" t="inlineStr">
        <is>
          <t>HEDEMORA</t>
        </is>
      </c>
      <c r="G111" t="n">
        <v>0.3</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45967</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27609-2024</t>
        </is>
      </c>
      <c r="B113" s="1" t="n">
        <v>45474.73076388889</v>
      </c>
      <c r="C113" s="1" t="n">
        <v>45967</v>
      </c>
      <c r="D113" t="inlineStr">
        <is>
          <t>DALARNAS LÄN</t>
        </is>
      </c>
      <c r="E113" t="inlineStr">
        <is>
          <t>HEDEMORA</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31825-2024</t>
        </is>
      </c>
      <c r="B114" s="1" t="n">
        <v>45509.60949074074</v>
      </c>
      <c r="C114" s="1" t="n">
        <v>45967</v>
      </c>
      <c r="D114" t="inlineStr">
        <is>
          <t>DALARNAS LÄN</t>
        </is>
      </c>
      <c r="E114" t="inlineStr">
        <is>
          <t>HEDEMORA</t>
        </is>
      </c>
      <c r="G114" t="n">
        <v>0.1</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45967</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29587-2024</t>
        </is>
      </c>
      <c r="B116" s="1" t="n">
        <v>45484.5799537037</v>
      </c>
      <c r="C116" s="1" t="n">
        <v>45967</v>
      </c>
      <c r="D116" t="inlineStr">
        <is>
          <t>DALARNAS LÄN</t>
        </is>
      </c>
      <c r="E116" t="inlineStr">
        <is>
          <t>HEDEMORA</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16413-2024</t>
        </is>
      </c>
      <c r="B117" s="1" t="n">
        <v>45407.64223379629</v>
      </c>
      <c r="C117" s="1" t="n">
        <v>45967</v>
      </c>
      <c r="D117" t="inlineStr">
        <is>
          <t>DALARNAS LÄN</t>
        </is>
      </c>
      <c r="E117" t="inlineStr">
        <is>
          <t>HEDEMORA</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40707-2023</t>
        </is>
      </c>
      <c r="B118" s="1" t="n">
        <v>45170.62489583333</v>
      </c>
      <c r="C118" s="1" t="n">
        <v>45967</v>
      </c>
      <c r="D118" t="inlineStr">
        <is>
          <t>DALARNAS LÄN</t>
        </is>
      </c>
      <c r="E118" t="inlineStr">
        <is>
          <t>HEDEMORA</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19987-2025</t>
        </is>
      </c>
      <c r="B119" s="1" t="n">
        <v>45771.72193287037</v>
      </c>
      <c r="C119" s="1" t="n">
        <v>45967</v>
      </c>
      <c r="D119" t="inlineStr">
        <is>
          <t>DALARNAS LÄN</t>
        </is>
      </c>
      <c r="E119" t="inlineStr">
        <is>
          <t>HEDEMORA</t>
        </is>
      </c>
      <c r="G119" t="n">
        <v>3</v>
      </c>
      <c r="H119" t="n">
        <v>0</v>
      </c>
      <c r="I119" t="n">
        <v>0</v>
      </c>
      <c r="J119" t="n">
        <v>0</v>
      </c>
      <c r="K119" t="n">
        <v>0</v>
      </c>
      <c r="L119" t="n">
        <v>0</v>
      </c>
      <c r="M119" t="n">
        <v>0</v>
      </c>
      <c r="N119" t="n">
        <v>0</v>
      </c>
      <c r="O119" t="n">
        <v>0</v>
      </c>
      <c r="P119" t="n">
        <v>0</v>
      </c>
      <c r="Q119" t="n">
        <v>0</v>
      </c>
      <c r="R119" s="2" t="inlineStr"/>
    </row>
    <row r="120" ht="15" customHeight="1">
      <c r="A120" t="inlineStr">
        <is>
          <t>A 19473-2024</t>
        </is>
      </c>
      <c r="B120" s="1" t="n">
        <v>45429</v>
      </c>
      <c r="C120" s="1" t="n">
        <v>45967</v>
      </c>
      <c r="D120" t="inlineStr">
        <is>
          <t>DALARNAS LÄN</t>
        </is>
      </c>
      <c r="E120" t="inlineStr">
        <is>
          <t>HEDEMORA</t>
        </is>
      </c>
      <c r="G120" t="n">
        <v>2.5</v>
      </c>
      <c r="H120" t="n">
        <v>0</v>
      </c>
      <c r="I120" t="n">
        <v>0</v>
      </c>
      <c r="J120" t="n">
        <v>0</v>
      </c>
      <c r="K120" t="n">
        <v>0</v>
      </c>
      <c r="L120" t="n">
        <v>0</v>
      </c>
      <c r="M120" t="n">
        <v>0</v>
      </c>
      <c r="N120" t="n">
        <v>0</v>
      </c>
      <c r="O120" t="n">
        <v>0</v>
      </c>
      <c r="P120" t="n">
        <v>0</v>
      </c>
      <c r="Q120" t="n">
        <v>0</v>
      </c>
      <c r="R120" s="2" t="inlineStr"/>
    </row>
    <row r="121" ht="15" customHeight="1">
      <c r="A121" t="inlineStr">
        <is>
          <t>A 18522-2021</t>
        </is>
      </c>
      <c r="B121" s="1" t="n">
        <v>44306.4405787037</v>
      </c>
      <c r="C121" s="1" t="n">
        <v>45967</v>
      </c>
      <c r="D121" t="inlineStr">
        <is>
          <t>DALARNAS LÄN</t>
        </is>
      </c>
      <c r="E121" t="inlineStr">
        <is>
          <t>HEDEMORA</t>
        </is>
      </c>
      <c r="G121" t="n">
        <v>7</v>
      </c>
      <c r="H121" t="n">
        <v>0</v>
      </c>
      <c r="I121" t="n">
        <v>0</v>
      </c>
      <c r="J121" t="n">
        <v>0</v>
      </c>
      <c r="K121" t="n">
        <v>0</v>
      </c>
      <c r="L121" t="n">
        <v>0</v>
      </c>
      <c r="M121" t="n">
        <v>0</v>
      </c>
      <c r="N121" t="n">
        <v>0</v>
      </c>
      <c r="O121" t="n">
        <v>0</v>
      </c>
      <c r="P121" t="n">
        <v>0</v>
      </c>
      <c r="Q121" t="n">
        <v>0</v>
      </c>
      <c r="R121" s="2" t="inlineStr"/>
    </row>
    <row r="122" ht="15" customHeight="1">
      <c r="A122" t="inlineStr">
        <is>
          <t>A 60774-2022</t>
        </is>
      </c>
      <c r="B122" s="1" t="n">
        <v>44914.37917824074</v>
      </c>
      <c r="C122" s="1" t="n">
        <v>45967</v>
      </c>
      <c r="D122" t="inlineStr">
        <is>
          <t>DALARNAS LÄN</t>
        </is>
      </c>
      <c r="E122" t="inlineStr">
        <is>
          <t>HEDEMORA</t>
        </is>
      </c>
      <c r="G122" t="n">
        <v>11.5</v>
      </c>
      <c r="H122" t="n">
        <v>0</v>
      </c>
      <c r="I122" t="n">
        <v>0</v>
      </c>
      <c r="J122" t="n">
        <v>0</v>
      </c>
      <c r="K122" t="n">
        <v>0</v>
      </c>
      <c r="L122" t="n">
        <v>0</v>
      </c>
      <c r="M122" t="n">
        <v>0</v>
      </c>
      <c r="N122" t="n">
        <v>0</v>
      </c>
      <c r="O122" t="n">
        <v>0</v>
      </c>
      <c r="P122" t="n">
        <v>0</v>
      </c>
      <c r="Q122" t="n">
        <v>0</v>
      </c>
      <c r="R122" s="2" t="inlineStr"/>
    </row>
    <row r="123" ht="15" customHeight="1">
      <c r="A123" t="inlineStr">
        <is>
          <t>A 41435-2023</t>
        </is>
      </c>
      <c r="B123" s="1" t="n">
        <v>45170</v>
      </c>
      <c r="C123" s="1" t="n">
        <v>45967</v>
      </c>
      <c r="D123" t="inlineStr">
        <is>
          <t>DALARNAS LÄN</t>
        </is>
      </c>
      <c r="E123" t="inlineStr">
        <is>
          <t>HEDEMORA</t>
        </is>
      </c>
      <c r="G123" t="n">
        <v>2.9</v>
      </c>
      <c r="H123" t="n">
        <v>0</v>
      </c>
      <c r="I123" t="n">
        <v>0</v>
      </c>
      <c r="J123" t="n">
        <v>0</v>
      </c>
      <c r="K123" t="n">
        <v>0</v>
      </c>
      <c r="L123" t="n">
        <v>0</v>
      </c>
      <c r="M123" t="n">
        <v>0</v>
      </c>
      <c r="N123" t="n">
        <v>0</v>
      </c>
      <c r="O123" t="n">
        <v>0</v>
      </c>
      <c r="P123" t="n">
        <v>0</v>
      </c>
      <c r="Q123" t="n">
        <v>0</v>
      </c>
      <c r="R123" s="2" t="inlineStr"/>
    </row>
    <row r="124" ht="15" customHeight="1">
      <c r="A124" t="inlineStr">
        <is>
          <t>A 2996-2023</t>
        </is>
      </c>
      <c r="B124" s="1" t="n">
        <v>44945</v>
      </c>
      <c r="C124" s="1" t="n">
        <v>45967</v>
      </c>
      <c r="D124" t="inlineStr">
        <is>
          <t>DALARNAS LÄN</t>
        </is>
      </c>
      <c r="E124" t="inlineStr">
        <is>
          <t>HEDEMORA</t>
        </is>
      </c>
      <c r="G124" t="n">
        <v>2.1</v>
      </c>
      <c r="H124" t="n">
        <v>0</v>
      </c>
      <c r="I124" t="n">
        <v>0</v>
      </c>
      <c r="J124" t="n">
        <v>0</v>
      </c>
      <c r="K124" t="n">
        <v>0</v>
      </c>
      <c r="L124" t="n">
        <v>0</v>
      </c>
      <c r="M124" t="n">
        <v>0</v>
      </c>
      <c r="N124" t="n">
        <v>0</v>
      </c>
      <c r="O124" t="n">
        <v>0</v>
      </c>
      <c r="P124" t="n">
        <v>0</v>
      </c>
      <c r="Q124" t="n">
        <v>0</v>
      </c>
      <c r="R124" s="2" t="inlineStr"/>
    </row>
    <row r="125" ht="15" customHeight="1">
      <c r="A125" t="inlineStr">
        <is>
          <t>A 54312-2024</t>
        </is>
      </c>
      <c r="B125" s="1" t="n">
        <v>45617.3434837963</v>
      </c>
      <c r="C125" s="1" t="n">
        <v>45967</v>
      </c>
      <c r="D125" t="inlineStr">
        <is>
          <t>DALARNAS LÄN</t>
        </is>
      </c>
      <c r="E125" t="inlineStr">
        <is>
          <t>HEDEMORA</t>
        </is>
      </c>
      <c r="F125" t="inlineStr">
        <is>
          <t>Bergvik skog väst AB</t>
        </is>
      </c>
      <c r="G125" t="n">
        <v>13.9</v>
      </c>
      <c r="H125" t="n">
        <v>0</v>
      </c>
      <c r="I125" t="n">
        <v>0</v>
      </c>
      <c r="J125" t="n">
        <v>0</v>
      </c>
      <c r="K125" t="n">
        <v>0</v>
      </c>
      <c r="L125" t="n">
        <v>0</v>
      </c>
      <c r="M125" t="n">
        <v>0</v>
      </c>
      <c r="N125" t="n">
        <v>0</v>
      </c>
      <c r="O125" t="n">
        <v>0</v>
      </c>
      <c r="P125" t="n">
        <v>0</v>
      </c>
      <c r="Q125" t="n">
        <v>0</v>
      </c>
      <c r="R125" s="2" t="inlineStr"/>
    </row>
    <row r="126" ht="15" customHeight="1">
      <c r="A126" t="inlineStr">
        <is>
          <t>A 29585-2024</t>
        </is>
      </c>
      <c r="B126" s="1" t="n">
        <v>45484.57728009259</v>
      </c>
      <c r="C126" s="1" t="n">
        <v>45967</v>
      </c>
      <c r="D126" t="inlineStr">
        <is>
          <t>DALARNAS LÄN</t>
        </is>
      </c>
      <c r="E126" t="inlineStr">
        <is>
          <t>HEDEMORA</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34932-2024</t>
        </is>
      </c>
      <c r="B127" s="1" t="n">
        <v>45527.45431712963</v>
      </c>
      <c r="C127" s="1" t="n">
        <v>45967</v>
      </c>
      <c r="D127" t="inlineStr">
        <is>
          <t>DALARNAS LÄN</t>
        </is>
      </c>
      <c r="E127" t="inlineStr">
        <is>
          <t>HEDEMORA</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69624-2021</t>
        </is>
      </c>
      <c r="B128" s="1" t="n">
        <v>44532.41442129629</v>
      </c>
      <c r="C128" s="1" t="n">
        <v>45967</v>
      </c>
      <c r="D128" t="inlineStr">
        <is>
          <t>DALARNAS LÄN</t>
        </is>
      </c>
      <c r="E128" t="inlineStr">
        <is>
          <t>HEDEMORA</t>
        </is>
      </c>
      <c r="G128" t="n">
        <v>0.4</v>
      </c>
      <c r="H128" t="n">
        <v>0</v>
      </c>
      <c r="I128" t="n">
        <v>0</v>
      </c>
      <c r="J128" t="n">
        <v>0</v>
      </c>
      <c r="K128" t="n">
        <v>0</v>
      </c>
      <c r="L128" t="n">
        <v>0</v>
      </c>
      <c r="M128" t="n">
        <v>0</v>
      </c>
      <c r="N128" t="n">
        <v>0</v>
      </c>
      <c r="O128" t="n">
        <v>0</v>
      </c>
      <c r="P128" t="n">
        <v>0</v>
      </c>
      <c r="Q128" t="n">
        <v>0</v>
      </c>
      <c r="R128" s="2" t="inlineStr"/>
    </row>
    <row r="129" ht="15" customHeight="1">
      <c r="A129" t="inlineStr">
        <is>
          <t>A 63925-2023</t>
        </is>
      </c>
      <c r="B129" s="1" t="n">
        <v>45278</v>
      </c>
      <c r="C129" s="1" t="n">
        <v>45967</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6881-2024</t>
        </is>
      </c>
      <c r="B130" s="1" t="n">
        <v>45342.8779050926</v>
      </c>
      <c r="C130" s="1" t="n">
        <v>45967</v>
      </c>
      <c r="D130" t="inlineStr">
        <is>
          <t>DALARNAS LÄN</t>
        </is>
      </c>
      <c r="E130" t="inlineStr">
        <is>
          <t>HEDEMORA</t>
        </is>
      </c>
      <c r="G130" t="n">
        <v>2.5</v>
      </c>
      <c r="H130" t="n">
        <v>0</v>
      </c>
      <c r="I130" t="n">
        <v>0</v>
      </c>
      <c r="J130" t="n">
        <v>0</v>
      </c>
      <c r="K130" t="n">
        <v>0</v>
      </c>
      <c r="L130" t="n">
        <v>0</v>
      </c>
      <c r="M130" t="n">
        <v>0</v>
      </c>
      <c r="N130" t="n">
        <v>0</v>
      </c>
      <c r="O130" t="n">
        <v>0</v>
      </c>
      <c r="P130" t="n">
        <v>0</v>
      </c>
      <c r="Q130" t="n">
        <v>0</v>
      </c>
      <c r="R130" s="2" t="inlineStr"/>
    </row>
    <row r="131" ht="15" customHeight="1">
      <c r="A131" t="inlineStr">
        <is>
          <t>A 28813-2024</t>
        </is>
      </c>
      <c r="B131" s="1" t="n">
        <v>45478.641875</v>
      </c>
      <c r="C131" s="1" t="n">
        <v>45967</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29283-2022</t>
        </is>
      </c>
      <c r="B132" s="1" t="n">
        <v>44750.87045138889</v>
      </c>
      <c r="C132" s="1" t="n">
        <v>45967</v>
      </c>
      <c r="D132" t="inlineStr">
        <is>
          <t>DALARNAS LÄN</t>
        </is>
      </c>
      <c r="E132" t="inlineStr">
        <is>
          <t>HEDEMORA</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29284-2022</t>
        </is>
      </c>
      <c r="B133" s="1" t="n">
        <v>44750.87366898148</v>
      </c>
      <c r="C133" s="1" t="n">
        <v>45967</v>
      </c>
      <c r="D133" t="inlineStr">
        <is>
          <t>DALARNAS LÄN</t>
        </is>
      </c>
      <c r="E133" t="inlineStr">
        <is>
          <t>HEDEMORA</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23934-2023</t>
        </is>
      </c>
      <c r="B134" s="1" t="n">
        <v>45078.59590277778</v>
      </c>
      <c r="C134" s="1" t="n">
        <v>45967</v>
      </c>
      <c r="D134" t="inlineStr">
        <is>
          <t>DALARNAS LÄN</t>
        </is>
      </c>
      <c r="E134" t="inlineStr">
        <is>
          <t>HEDEMORA</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60780-2024</t>
        </is>
      </c>
      <c r="B135" s="1" t="n">
        <v>45644.59017361111</v>
      </c>
      <c r="C135" s="1" t="n">
        <v>45967</v>
      </c>
      <c r="D135" t="inlineStr">
        <is>
          <t>DALARNAS LÄN</t>
        </is>
      </c>
      <c r="E135" t="inlineStr">
        <is>
          <t>HEDEMORA</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62046-2022</t>
        </is>
      </c>
      <c r="B136" s="1" t="n">
        <v>44918.5633912037</v>
      </c>
      <c r="C136" s="1" t="n">
        <v>45967</v>
      </c>
      <c r="D136" t="inlineStr">
        <is>
          <t>DALARNAS LÄN</t>
        </is>
      </c>
      <c r="E136" t="inlineStr">
        <is>
          <t>HEDEMORA</t>
        </is>
      </c>
      <c r="G136" t="n">
        <v>1.2</v>
      </c>
      <c r="H136" t="n">
        <v>0</v>
      </c>
      <c r="I136" t="n">
        <v>0</v>
      </c>
      <c r="J136" t="n">
        <v>0</v>
      </c>
      <c r="K136" t="n">
        <v>0</v>
      </c>
      <c r="L136" t="n">
        <v>0</v>
      </c>
      <c r="M136" t="n">
        <v>0</v>
      </c>
      <c r="N136" t="n">
        <v>0</v>
      </c>
      <c r="O136" t="n">
        <v>0</v>
      </c>
      <c r="P136" t="n">
        <v>0</v>
      </c>
      <c r="Q136" t="n">
        <v>0</v>
      </c>
      <c r="R136" s="2" t="inlineStr"/>
    </row>
    <row r="137" ht="15" customHeight="1">
      <c r="A137" t="inlineStr">
        <is>
          <t>A 19353-2024</t>
        </is>
      </c>
      <c r="B137" s="1" t="n">
        <v>45429.29666666667</v>
      </c>
      <c r="C137" s="1" t="n">
        <v>45967</v>
      </c>
      <c r="D137" t="inlineStr">
        <is>
          <t>DALARNAS LÄN</t>
        </is>
      </c>
      <c r="E137" t="inlineStr">
        <is>
          <t>HEDEMORA</t>
        </is>
      </c>
      <c r="F137" t="inlineStr">
        <is>
          <t>Sveaskog</t>
        </is>
      </c>
      <c r="G137" t="n">
        <v>16.3</v>
      </c>
      <c r="H137" t="n">
        <v>0</v>
      </c>
      <c r="I137" t="n">
        <v>0</v>
      </c>
      <c r="J137" t="n">
        <v>0</v>
      </c>
      <c r="K137" t="n">
        <v>0</v>
      </c>
      <c r="L137" t="n">
        <v>0</v>
      </c>
      <c r="M137" t="n">
        <v>0</v>
      </c>
      <c r="N137" t="n">
        <v>0</v>
      </c>
      <c r="O137" t="n">
        <v>0</v>
      </c>
      <c r="P137" t="n">
        <v>0</v>
      </c>
      <c r="Q137" t="n">
        <v>0</v>
      </c>
      <c r="R137" s="2" t="inlineStr"/>
    </row>
    <row r="138" ht="15" customHeight="1">
      <c r="A138" t="inlineStr">
        <is>
          <t>A 67282-2021</t>
        </is>
      </c>
      <c r="B138" s="1" t="n">
        <v>44523.6131712963</v>
      </c>
      <c r="C138" s="1" t="n">
        <v>45967</v>
      </c>
      <c r="D138" t="inlineStr">
        <is>
          <t>DALARNAS LÄN</t>
        </is>
      </c>
      <c r="E138" t="inlineStr">
        <is>
          <t>HEDEMORA</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61886-2022</t>
        </is>
      </c>
      <c r="B139" s="1" t="n">
        <v>44917.67582175926</v>
      </c>
      <c r="C139" s="1" t="n">
        <v>45967</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48639-2022</t>
        </is>
      </c>
      <c r="B140" s="1" t="n">
        <v>44859</v>
      </c>
      <c r="C140" s="1" t="n">
        <v>45967</v>
      </c>
      <c r="D140" t="inlineStr">
        <is>
          <t>DALARNAS LÄN</t>
        </is>
      </c>
      <c r="E140" t="inlineStr">
        <is>
          <t>HEDEMORA</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52945-2024</t>
        </is>
      </c>
      <c r="B141" s="1" t="n">
        <v>45610.82664351852</v>
      </c>
      <c r="C141" s="1" t="n">
        <v>45967</v>
      </c>
      <c r="D141" t="inlineStr">
        <is>
          <t>DALARNAS LÄN</t>
        </is>
      </c>
      <c r="E141" t="inlineStr">
        <is>
          <t>HEDEMORA</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19988-2025</t>
        </is>
      </c>
      <c r="B142" s="1" t="n">
        <v>45771.72665509259</v>
      </c>
      <c r="C142" s="1" t="n">
        <v>45967</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52199-2021</t>
        </is>
      </c>
      <c r="B143" s="1" t="n">
        <v>44462</v>
      </c>
      <c r="C143" s="1" t="n">
        <v>45967</v>
      </c>
      <c r="D143" t="inlineStr">
        <is>
          <t>DALARNAS LÄN</t>
        </is>
      </c>
      <c r="E143" t="inlineStr">
        <is>
          <t>HEDEMORA</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29640-2024</t>
        </is>
      </c>
      <c r="B144" s="1" t="n">
        <v>45484.69837962963</v>
      </c>
      <c r="C144" s="1" t="n">
        <v>45967</v>
      </c>
      <c r="D144" t="inlineStr">
        <is>
          <t>DALARNAS LÄN</t>
        </is>
      </c>
      <c r="E144" t="inlineStr">
        <is>
          <t>HEDEMORA</t>
        </is>
      </c>
      <c r="F144" t="inlineStr">
        <is>
          <t>Bergvik skog väst AB</t>
        </is>
      </c>
      <c r="G144" t="n">
        <v>8.6</v>
      </c>
      <c r="H144" t="n">
        <v>0</v>
      </c>
      <c r="I144" t="n">
        <v>0</v>
      </c>
      <c r="J144" t="n">
        <v>0</v>
      </c>
      <c r="K144" t="n">
        <v>0</v>
      </c>
      <c r="L144" t="n">
        <v>0</v>
      </c>
      <c r="M144" t="n">
        <v>0</v>
      </c>
      <c r="N144" t="n">
        <v>0</v>
      </c>
      <c r="O144" t="n">
        <v>0</v>
      </c>
      <c r="P144" t="n">
        <v>0</v>
      </c>
      <c r="Q144" t="n">
        <v>0</v>
      </c>
      <c r="R144" s="2" t="inlineStr"/>
    </row>
    <row r="145" ht="15" customHeight="1">
      <c r="A145" t="inlineStr">
        <is>
          <t>A 37759-2024</t>
        </is>
      </c>
      <c r="B145" s="1" t="n">
        <v>45541</v>
      </c>
      <c r="C145" s="1" t="n">
        <v>45967</v>
      </c>
      <c r="D145" t="inlineStr">
        <is>
          <t>DALARNAS LÄN</t>
        </is>
      </c>
      <c r="E145" t="inlineStr">
        <is>
          <t>HEDEMORA</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36935-2024</t>
        </is>
      </c>
      <c r="B146" s="1" t="n">
        <v>45538.56925925926</v>
      </c>
      <c r="C146" s="1" t="n">
        <v>45967</v>
      </c>
      <c r="D146" t="inlineStr">
        <is>
          <t>DALARNAS LÄN</t>
        </is>
      </c>
      <c r="E146" t="inlineStr">
        <is>
          <t>HEDEMORA</t>
        </is>
      </c>
      <c r="G146" t="n">
        <v>1.4</v>
      </c>
      <c r="H146" t="n">
        <v>0</v>
      </c>
      <c r="I146" t="n">
        <v>0</v>
      </c>
      <c r="J146" t="n">
        <v>0</v>
      </c>
      <c r="K146" t="n">
        <v>0</v>
      </c>
      <c r="L146" t="n">
        <v>0</v>
      </c>
      <c r="M146" t="n">
        <v>0</v>
      </c>
      <c r="N146" t="n">
        <v>0</v>
      </c>
      <c r="O146" t="n">
        <v>0</v>
      </c>
      <c r="P146" t="n">
        <v>0</v>
      </c>
      <c r="Q146" t="n">
        <v>0</v>
      </c>
      <c r="R146" s="2" t="inlineStr"/>
    </row>
    <row r="147" ht="15" customHeight="1">
      <c r="A147" t="inlineStr">
        <is>
          <t>A 21514-2024</t>
        </is>
      </c>
      <c r="B147" s="1" t="n">
        <v>45441.57538194444</v>
      </c>
      <c r="C147" s="1" t="n">
        <v>45967</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37761-2024</t>
        </is>
      </c>
      <c r="B148" s="1" t="n">
        <v>45541.78678240741</v>
      </c>
      <c r="C148" s="1" t="n">
        <v>45967</v>
      </c>
      <c r="D148" t="inlineStr">
        <is>
          <t>DALARNAS LÄN</t>
        </is>
      </c>
      <c r="E148" t="inlineStr">
        <is>
          <t>HEDEMORA</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39497-2022</t>
        </is>
      </c>
      <c r="B149" s="1" t="n">
        <v>44817</v>
      </c>
      <c r="C149" s="1" t="n">
        <v>45967</v>
      </c>
      <c r="D149" t="inlineStr">
        <is>
          <t>DALARNAS LÄN</t>
        </is>
      </c>
      <c r="E149" t="inlineStr">
        <is>
          <t>HEDEMORA</t>
        </is>
      </c>
      <c r="F149" t="inlineStr">
        <is>
          <t>Bergvik skog väst AB</t>
        </is>
      </c>
      <c r="G149" t="n">
        <v>2.3</v>
      </c>
      <c r="H149" t="n">
        <v>0</v>
      </c>
      <c r="I149" t="n">
        <v>0</v>
      </c>
      <c r="J149" t="n">
        <v>0</v>
      </c>
      <c r="K149" t="n">
        <v>0</v>
      </c>
      <c r="L149" t="n">
        <v>0</v>
      </c>
      <c r="M149" t="n">
        <v>0</v>
      </c>
      <c r="N149" t="n">
        <v>0</v>
      </c>
      <c r="O149" t="n">
        <v>0</v>
      </c>
      <c r="P149" t="n">
        <v>0</v>
      </c>
      <c r="Q149" t="n">
        <v>0</v>
      </c>
      <c r="R149" s="2" t="inlineStr"/>
    </row>
    <row r="150" ht="15" customHeight="1">
      <c r="A150" t="inlineStr">
        <is>
          <t>A 55881-2023</t>
        </is>
      </c>
      <c r="B150" s="1" t="n">
        <v>45239</v>
      </c>
      <c r="C150" s="1" t="n">
        <v>45967</v>
      </c>
      <c r="D150" t="inlineStr">
        <is>
          <t>DALARNAS LÄN</t>
        </is>
      </c>
      <c r="E150" t="inlineStr">
        <is>
          <t>HEDEMORA</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39530-2024</t>
        </is>
      </c>
      <c r="B151" s="1" t="n">
        <v>45551</v>
      </c>
      <c r="C151" s="1" t="n">
        <v>45967</v>
      </c>
      <c r="D151" t="inlineStr">
        <is>
          <t>DALARNAS LÄN</t>
        </is>
      </c>
      <c r="E151" t="inlineStr">
        <is>
          <t>HEDEMORA</t>
        </is>
      </c>
      <c r="F151" t="inlineStr">
        <is>
          <t>Bergvik skog väst AB</t>
        </is>
      </c>
      <c r="G151" t="n">
        <v>13.8</v>
      </c>
      <c r="H151" t="n">
        <v>0</v>
      </c>
      <c r="I151" t="n">
        <v>0</v>
      </c>
      <c r="J151" t="n">
        <v>0</v>
      </c>
      <c r="K151" t="n">
        <v>0</v>
      </c>
      <c r="L151" t="n">
        <v>0</v>
      </c>
      <c r="M151" t="n">
        <v>0</v>
      </c>
      <c r="N151" t="n">
        <v>0</v>
      </c>
      <c r="O151" t="n">
        <v>0</v>
      </c>
      <c r="P151" t="n">
        <v>0</v>
      </c>
      <c r="Q151" t="n">
        <v>0</v>
      </c>
      <c r="R151" s="2" t="inlineStr"/>
    </row>
    <row r="152" ht="15" customHeight="1">
      <c r="A152" t="inlineStr">
        <is>
          <t>A 39531-2024</t>
        </is>
      </c>
      <c r="B152" s="1" t="n">
        <v>45551</v>
      </c>
      <c r="C152" s="1" t="n">
        <v>45967</v>
      </c>
      <c r="D152" t="inlineStr">
        <is>
          <t>DALARNAS LÄN</t>
        </is>
      </c>
      <c r="E152" t="inlineStr">
        <is>
          <t>HEDEMORA</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39552-2024</t>
        </is>
      </c>
      <c r="B153" s="1" t="n">
        <v>45551</v>
      </c>
      <c r="C153" s="1" t="n">
        <v>45967</v>
      </c>
      <c r="D153" t="inlineStr">
        <is>
          <t>DALARNAS LÄN</t>
        </is>
      </c>
      <c r="E153" t="inlineStr">
        <is>
          <t>HEDEMORA</t>
        </is>
      </c>
      <c r="F153" t="inlineStr">
        <is>
          <t>Bergvik skog väst AB</t>
        </is>
      </c>
      <c r="G153" t="n">
        <v>24.1</v>
      </c>
      <c r="H153" t="n">
        <v>0</v>
      </c>
      <c r="I153" t="n">
        <v>0</v>
      </c>
      <c r="J153" t="n">
        <v>0</v>
      </c>
      <c r="K153" t="n">
        <v>0</v>
      </c>
      <c r="L153" t="n">
        <v>0</v>
      </c>
      <c r="M153" t="n">
        <v>0</v>
      </c>
      <c r="N153" t="n">
        <v>0</v>
      </c>
      <c r="O153" t="n">
        <v>0</v>
      </c>
      <c r="P153" t="n">
        <v>0</v>
      </c>
      <c r="Q153" t="n">
        <v>0</v>
      </c>
      <c r="R153" s="2" t="inlineStr"/>
    </row>
    <row r="154" ht="15" customHeight="1">
      <c r="A154" t="inlineStr">
        <is>
          <t>A 48321-2024</t>
        </is>
      </c>
      <c r="B154" s="1" t="n">
        <v>45590.50111111111</v>
      </c>
      <c r="C154" s="1" t="n">
        <v>45967</v>
      </c>
      <c r="D154" t="inlineStr">
        <is>
          <t>DALARNAS LÄN</t>
        </is>
      </c>
      <c r="E154" t="inlineStr">
        <is>
          <t>HEDEMORA</t>
        </is>
      </c>
      <c r="F154" t="inlineStr">
        <is>
          <t>Sveaskog</t>
        </is>
      </c>
      <c r="G154" t="n">
        <v>5.2</v>
      </c>
      <c r="H154" t="n">
        <v>0</v>
      </c>
      <c r="I154" t="n">
        <v>0</v>
      </c>
      <c r="J154" t="n">
        <v>0</v>
      </c>
      <c r="K154" t="n">
        <v>0</v>
      </c>
      <c r="L154" t="n">
        <v>0</v>
      </c>
      <c r="M154" t="n">
        <v>0</v>
      </c>
      <c r="N154" t="n">
        <v>0</v>
      </c>
      <c r="O154" t="n">
        <v>0</v>
      </c>
      <c r="P154" t="n">
        <v>0</v>
      </c>
      <c r="Q154" t="n">
        <v>0</v>
      </c>
      <c r="R154" s="2" t="inlineStr"/>
    </row>
    <row r="155" ht="15" customHeight="1">
      <c r="A155" t="inlineStr">
        <is>
          <t>A 15635-2022</t>
        </is>
      </c>
      <c r="B155" s="1" t="n">
        <v>44662.84958333334</v>
      </c>
      <c r="C155" s="1" t="n">
        <v>45967</v>
      </c>
      <c r="D155" t="inlineStr">
        <is>
          <t>DALARNAS LÄN</t>
        </is>
      </c>
      <c r="E155" t="inlineStr">
        <is>
          <t>HEDEMORA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7916-2024</t>
        </is>
      </c>
      <c r="B156" s="1" t="n">
        <v>45350.46259259259</v>
      </c>
      <c r="C156" s="1" t="n">
        <v>45967</v>
      </c>
      <c r="D156" t="inlineStr">
        <is>
          <t>DALARNAS LÄN</t>
        </is>
      </c>
      <c r="E156" t="inlineStr">
        <is>
          <t>HEDEMORA</t>
        </is>
      </c>
      <c r="G156" t="n">
        <v>5.8</v>
      </c>
      <c r="H156" t="n">
        <v>0</v>
      </c>
      <c r="I156" t="n">
        <v>0</v>
      </c>
      <c r="J156" t="n">
        <v>0</v>
      </c>
      <c r="K156" t="n">
        <v>0</v>
      </c>
      <c r="L156" t="n">
        <v>0</v>
      </c>
      <c r="M156" t="n">
        <v>0</v>
      </c>
      <c r="N156" t="n">
        <v>0</v>
      </c>
      <c r="O156" t="n">
        <v>0</v>
      </c>
      <c r="P156" t="n">
        <v>0</v>
      </c>
      <c r="Q156" t="n">
        <v>0</v>
      </c>
      <c r="R156" s="2" t="inlineStr"/>
    </row>
    <row r="157" ht="15" customHeight="1">
      <c r="A157" t="inlineStr">
        <is>
          <t>A 20237-2023</t>
        </is>
      </c>
      <c r="B157" s="1" t="n">
        <v>45055</v>
      </c>
      <c r="C157" s="1" t="n">
        <v>45967</v>
      </c>
      <c r="D157" t="inlineStr">
        <is>
          <t>DALARNAS LÄN</t>
        </is>
      </c>
      <c r="E157" t="inlineStr">
        <is>
          <t>HEDEMORA</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20670-2024</t>
        </is>
      </c>
      <c r="B158" s="1" t="n">
        <v>45436</v>
      </c>
      <c r="C158" s="1" t="n">
        <v>45967</v>
      </c>
      <c r="D158" t="inlineStr">
        <is>
          <t>DALARNAS LÄN</t>
        </is>
      </c>
      <c r="E158" t="inlineStr">
        <is>
          <t>HEDEMORA</t>
        </is>
      </c>
      <c r="G158" t="n">
        <v>2.7</v>
      </c>
      <c r="H158" t="n">
        <v>0</v>
      </c>
      <c r="I158" t="n">
        <v>0</v>
      </c>
      <c r="J158" t="n">
        <v>0</v>
      </c>
      <c r="K158" t="n">
        <v>0</v>
      </c>
      <c r="L158" t="n">
        <v>0</v>
      </c>
      <c r="M158" t="n">
        <v>0</v>
      </c>
      <c r="N158" t="n">
        <v>0</v>
      </c>
      <c r="O158" t="n">
        <v>0</v>
      </c>
      <c r="P158" t="n">
        <v>0</v>
      </c>
      <c r="Q158" t="n">
        <v>0</v>
      </c>
      <c r="R158" s="2" t="inlineStr"/>
    </row>
    <row r="159" ht="15" customHeight="1">
      <c r="A159" t="inlineStr">
        <is>
          <t>A 15863-2023</t>
        </is>
      </c>
      <c r="B159" s="1" t="n">
        <v>45022</v>
      </c>
      <c r="C159" s="1" t="n">
        <v>45967</v>
      </c>
      <c r="D159" t="inlineStr">
        <is>
          <t>DALARNAS LÄN</t>
        </is>
      </c>
      <c r="E159" t="inlineStr">
        <is>
          <t>HEDEMORA</t>
        </is>
      </c>
      <c r="F159" t="inlineStr">
        <is>
          <t>Bergvik skog väst AB</t>
        </is>
      </c>
      <c r="G159" t="n">
        <v>4.7</v>
      </c>
      <c r="H159" t="n">
        <v>0</v>
      </c>
      <c r="I159" t="n">
        <v>0</v>
      </c>
      <c r="J159" t="n">
        <v>0</v>
      </c>
      <c r="K159" t="n">
        <v>0</v>
      </c>
      <c r="L159" t="n">
        <v>0</v>
      </c>
      <c r="M159" t="n">
        <v>0</v>
      </c>
      <c r="N159" t="n">
        <v>0</v>
      </c>
      <c r="O159" t="n">
        <v>0</v>
      </c>
      <c r="P159" t="n">
        <v>0</v>
      </c>
      <c r="Q159" t="n">
        <v>0</v>
      </c>
      <c r="R159" s="2" t="inlineStr"/>
    </row>
    <row r="160" ht="15" customHeight="1">
      <c r="A160" t="inlineStr">
        <is>
          <t>A 53922-2024</t>
        </is>
      </c>
      <c r="B160" s="1" t="n">
        <v>45615.78459490741</v>
      </c>
      <c r="C160" s="1" t="n">
        <v>45967</v>
      </c>
      <c r="D160" t="inlineStr">
        <is>
          <t>DALARNAS LÄN</t>
        </is>
      </c>
      <c r="E160" t="inlineStr">
        <is>
          <t>HEDEMORA</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37762-2024</t>
        </is>
      </c>
      <c r="B161" s="1" t="n">
        <v>45541.79369212963</v>
      </c>
      <c r="C161" s="1" t="n">
        <v>45967</v>
      </c>
      <c r="D161" t="inlineStr">
        <is>
          <t>DALARNAS LÄN</t>
        </is>
      </c>
      <c r="E161" t="inlineStr">
        <is>
          <t>HEDEMORA</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45967</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25645-2024</t>
        </is>
      </c>
      <c r="B163" s="1" t="n">
        <v>45463.66520833333</v>
      </c>
      <c r="C163" s="1" t="n">
        <v>45967</v>
      </c>
      <c r="D163" t="inlineStr">
        <is>
          <t>DALARNAS LÄN</t>
        </is>
      </c>
      <c r="E163" t="inlineStr">
        <is>
          <t>HEDEMORA</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52944-2024</t>
        </is>
      </c>
      <c r="B164" s="1" t="n">
        <v>45610.82546296297</v>
      </c>
      <c r="C164" s="1" t="n">
        <v>45967</v>
      </c>
      <c r="D164" t="inlineStr">
        <is>
          <t>DALARNAS LÄN</t>
        </is>
      </c>
      <c r="E164" t="inlineStr">
        <is>
          <t>HEDEMORA</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1978-2021</t>
        </is>
      </c>
      <c r="B165" s="1" t="n">
        <v>44210.67606481481</v>
      </c>
      <c r="C165" s="1" t="n">
        <v>45967</v>
      </c>
      <c r="D165" t="inlineStr">
        <is>
          <t>DALARNAS LÄN</t>
        </is>
      </c>
      <c r="E165" t="inlineStr">
        <is>
          <t>HEDEMORA</t>
        </is>
      </c>
      <c r="G165" t="n">
        <v>1</v>
      </c>
      <c r="H165" t="n">
        <v>0</v>
      </c>
      <c r="I165" t="n">
        <v>0</v>
      </c>
      <c r="J165" t="n">
        <v>0</v>
      </c>
      <c r="K165" t="n">
        <v>0</v>
      </c>
      <c r="L165" t="n">
        <v>0</v>
      </c>
      <c r="M165" t="n">
        <v>0</v>
      </c>
      <c r="N165" t="n">
        <v>0</v>
      </c>
      <c r="O165" t="n">
        <v>0</v>
      </c>
      <c r="P165" t="n">
        <v>0</v>
      </c>
      <c r="Q165" t="n">
        <v>0</v>
      </c>
      <c r="R165" s="2" t="inlineStr"/>
    </row>
    <row r="166" ht="15" customHeight="1">
      <c r="A166" t="inlineStr">
        <is>
          <t>A 44384-2024</t>
        </is>
      </c>
      <c r="B166" s="1" t="n">
        <v>45573.67782407408</v>
      </c>
      <c r="C166" s="1" t="n">
        <v>45967</v>
      </c>
      <c r="D166" t="inlineStr">
        <is>
          <t>DALARNAS LÄN</t>
        </is>
      </c>
      <c r="E166" t="inlineStr">
        <is>
          <t>HEDEMORA</t>
        </is>
      </c>
      <c r="F166" t="inlineStr">
        <is>
          <t>Bergvik skog väst AB</t>
        </is>
      </c>
      <c r="G166" t="n">
        <v>9.800000000000001</v>
      </c>
      <c r="H166" t="n">
        <v>0</v>
      </c>
      <c r="I166" t="n">
        <v>0</v>
      </c>
      <c r="J166" t="n">
        <v>0</v>
      </c>
      <c r="K166" t="n">
        <v>0</v>
      </c>
      <c r="L166" t="n">
        <v>0</v>
      </c>
      <c r="M166" t="n">
        <v>0</v>
      </c>
      <c r="N166" t="n">
        <v>0</v>
      </c>
      <c r="O166" t="n">
        <v>0</v>
      </c>
      <c r="P166" t="n">
        <v>0</v>
      </c>
      <c r="Q166" t="n">
        <v>0</v>
      </c>
      <c r="R166" s="2" t="inlineStr"/>
    </row>
    <row r="167" ht="15" customHeight="1">
      <c r="A167" t="inlineStr">
        <is>
          <t>A 44388-2024</t>
        </is>
      </c>
      <c r="B167" s="1" t="n">
        <v>45573.68875</v>
      </c>
      <c r="C167" s="1" t="n">
        <v>45967</v>
      </c>
      <c r="D167" t="inlineStr">
        <is>
          <t>DALARNAS LÄN</t>
        </is>
      </c>
      <c r="E167" t="inlineStr">
        <is>
          <t>HEDEMORA</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14456-2021</t>
        </is>
      </c>
      <c r="B168" s="1" t="n">
        <v>44279.50208333333</v>
      </c>
      <c r="C168" s="1" t="n">
        <v>45967</v>
      </c>
      <c r="D168" t="inlineStr">
        <is>
          <t>DALARNAS LÄN</t>
        </is>
      </c>
      <c r="E168" t="inlineStr">
        <is>
          <t>HEDEMORA</t>
        </is>
      </c>
      <c r="G168" t="n">
        <v>1.2</v>
      </c>
      <c r="H168" t="n">
        <v>0</v>
      </c>
      <c r="I168" t="n">
        <v>0</v>
      </c>
      <c r="J168" t="n">
        <v>0</v>
      </c>
      <c r="K168" t="n">
        <v>0</v>
      </c>
      <c r="L168" t="n">
        <v>0</v>
      </c>
      <c r="M168" t="n">
        <v>0</v>
      </c>
      <c r="N168" t="n">
        <v>0</v>
      </c>
      <c r="O168" t="n">
        <v>0</v>
      </c>
      <c r="P168" t="n">
        <v>0</v>
      </c>
      <c r="Q168" t="n">
        <v>0</v>
      </c>
      <c r="R168" s="2" t="inlineStr"/>
    </row>
    <row r="169" ht="15" customHeight="1">
      <c r="A169" t="inlineStr">
        <is>
          <t>A 12133-2025</t>
        </is>
      </c>
      <c r="B169" s="1" t="n">
        <v>45729.38878472222</v>
      </c>
      <c r="C169" s="1" t="n">
        <v>45967</v>
      </c>
      <c r="D169" t="inlineStr">
        <is>
          <t>DALARNAS LÄN</t>
        </is>
      </c>
      <c r="E169" t="inlineStr">
        <is>
          <t>HEDEMORA</t>
        </is>
      </c>
      <c r="G169" t="n">
        <v>4.8</v>
      </c>
      <c r="H169" t="n">
        <v>0</v>
      </c>
      <c r="I169" t="n">
        <v>0</v>
      </c>
      <c r="J169" t="n">
        <v>0</v>
      </c>
      <c r="K169" t="n">
        <v>0</v>
      </c>
      <c r="L169" t="n">
        <v>0</v>
      </c>
      <c r="M169" t="n">
        <v>0</v>
      </c>
      <c r="N169" t="n">
        <v>0</v>
      </c>
      <c r="O169" t="n">
        <v>0</v>
      </c>
      <c r="P169" t="n">
        <v>0</v>
      </c>
      <c r="Q169" t="n">
        <v>0</v>
      </c>
      <c r="R169" s="2" t="inlineStr"/>
    </row>
    <row r="170" ht="15" customHeight="1">
      <c r="A170" t="inlineStr">
        <is>
          <t>A 58841-2023</t>
        </is>
      </c>
      <c r="B170" s="1" t="n">
        <v>45252.42115740741</v>
      </c>
      <c r="C170" s="1" t="n">
        <v>45967</v>
      </c>
      <c r="D170" t="inlineStr">
        <is>
          <t>DALARNAS LÄN</t>
        </is>
      </c>
      <c r="E170" t="inlineStr">
        <is>
          <t>HEDEMORA</t>
        </is>
      </c>
      <c r="G170" t="n">
        <v>14.8</v>
      </c>
      <c r="H170" t="n">
        <v>0</v>
      </c>
      <c r="I170" t="n">
        <v>0</v>
      </c>
      <c r="J170" t="n">
        <v>0</v>
      </c>
      <c r="K170" t="n">
        <v>0</v>
      </c>
      <c r="L170" t="n">
        <v>0</v>
      </c>
      <c r="M170" t="n">
        <v>0</v>
      </c>
      <c r="N170" t="n">
        <v>0</v>
      </c>
      <c r="O170" t="n">
        <v>0</v>
      </c>
      <c r="P170" t="n">
        <v>0</v>
      </c>
      <c r="Q170" t="n">
        <v>0</v>
      </c>
      <c r="R170" s="2" t="inlineStr"/>
    </row>
    <row r="171" ht="15" customHeight="1">
      <c r="A171" t="inlineStr">
        <is>
          <t>A 46287-2025</t>
        </is>
      </c>
      <c r="B171" s="1" t="n">
        <v>45925.38450231482</v>
      </c>
      <c r="C171" s="1" t="n">
        <v>45967</v>
      </c>
      <c r="D171" t="inlineStr">
        <is>
          <t>DALARNAS LÄN</t>
        </is>
      </c>
      <c r="E171" t="inlineStr">
        <is>
          <t>HEDEMORA</t>
        </is>
      </c>
      <c r="G171" t="n">
        <v>7.3</v>
      </c>
      <c r="H171" t="n">
        <v>0</v>
      </c>
      <c r="I171" t="n">
        <v>0</v>
      </c>
      <c r="J171" t="n">
        <v>0</v>
      </c>
      <c r="K171" t="n">
        <v>0</v>
      </c>
      <c r="L171" t="n">
        <v>0</v>
      </c>
      <c r="M171" t="n">
        <v>0</v>
      </c>
      <c r="N171" t="n">
        <v>0</v>
      </c>
      <c r="O171" t="n">
        <v>0</v>
      </c>
      <c r="P171" t="n">
        <v>0</v>
      </c>
      <c r="Q171" t="n">
        <v>0</v>
      </c>
      <c r="R171" s="2" t="inlineStr"/>
    </row>
    <row r="172" ht="15" customHeight="1">
      <c r="A172" t="inlineStr">
        <is>
          <t>A 53586-2023</t>
        </is>
      </c>
      <c r="B172" s="1" t="n">
        <v>45230.52603009259</v>
      </c>
      <c r="C172" s="1" t="n">
        <v>45967</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44957-2021</t>
        </is>
      </c>
      <c r="B173" s="1" t="n">
        <v>44438.71809027778</v>
      </c>
      <c r="C173" s="1" t="n">
        <v>45967</v>
      </c>
      <c r="D173" t="inlineStr">
        <is>
          <t>DALARNAS LÄN</t>
        </is>
      </c>
      <c r="E173" t="inlineStr">
        <is>
          <t>HEDEMORA</t>
        </is>
      </c>
      <c r="F173" t="inlineStr">
        <is>
          <t>Sveaskog</t>
        </is>
      </c>
      <c r="G173" t="n">
        <v>4.5</v>
      </c>
      <c r="H173" t="n">
        <v>0</v>
      </c>
      <c r="I173" t="n">
        <v>0</v>
      </c>
      <c r="J173" t="n">
        <v>0</v>
      </c>
      <c r="K173" t="n">
        <v>0</v>
      </c>
      <c r="L173" t="n">
        <v>0</v>
      </c>
      <c r="M173" t="n">
        <v>0</v>
      </c>
      <c r="N173" t="n">
        <v>0</v>
      </c>
      <c r="O173" t="n">
        <v>0</v>
      </c>
      <c r="P173" t="n">
        <v>0</v>
      </c>
      <c r="Q173" t="n">
        <v>0</v>
      </c>
      <c r="R173" s="2" t="inlineStr"/>
    </row>
    <row r="174" ht="15" customHeight="1">
      <c r="A174" t="inlineStr">
        <is>
          <t>A 45377-2024</t>
        </is>
      </c>
      <c r="B174" s="1" t="n">
        <v>45576.51962962963</v>
      </c>
      <c r="C174" s="1" t="n">
        <v>45967</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6556-2023</t>
        </is>
      </c>
      <c r="B175" s="1" t="n">
        <v>44961</v>
      </c>
      <c r="C175" s="1" t="n">
        <v>45967</v>
      </c>
      <c r="D175" t="inlineStr">
        <is>
          <t>DALARNAS LÄN</t>
        </is>
      </c>
      <c r="E175" t="inlineStr">
        <is>
          <t>HEDEMORA</t>
        </is>
      </c>
      <c r="G175" t="n">
        <v>3.7</v>
      </c>
      <c r="H175" t="n">
        <v>0</v>
      </c>
      <c r="I175" t="n">
        <v>0</v>
      </c>
      <c r="J175" t="n">
        <v>0</v>
      </c>
      <c r="K175" t="n">
        <v>0</v>
      </c>
      <c r="L175" t="n">
        <v>0</v>
      </c>
      <c r="M175" t="n">
        <v>0</v>
      </c>
      <c r="N175" t="n">
        <v>0</v>
      </c>
      <c r="O175" t="n">
        <v>0</v>
      </c>
      <c r="P175" t="n">
        <v>0</v>
      </c>
      <c r="Q175" t="n">
        <v>0</v>
      </c>
      <c r="R175" s="2" t="inlineStr"/>
    </row>
    <row r="176" ht="15" customHeight="1">
      <c r="A176" t="inlineStr">
        <is>
          <t>A 14949-2025</t>
        </is>
      </c>
      <c r="B176" s="1" t="n">
        <v>45743.5745949074</v>
      </c>
      <c r="C176" s="1" t="n">
        <v>45967</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34185-2025</t>
        </is>
      </c>
      <c r="B177" s="1" t="n">
        <v>45845</v>
      </c>
      <c r="C177" s="1" t="n">
        <v>45967</v>
      </c>
      <c r="D177" t="inlineStr">
        <is>
          <t>DALARNAS LÄN</t>
        </is>
      </c>
      <c r="E177" t="inlineStr">
        <is>
          <t>HEDEMORA</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7052-2025</t>
        </is>
      </c>
      <c r="B178" s="1" t="n">
        <v>45701.64659722222</v>
      </c>
      <c r="C178" s="1" t="n">
        <v>45967</v>
      </c>
      <c r="D178" t="inlineStr">
        <is>
          <t>DALARNAS LÄN</t>
        </is>
      </c>
      <c r="E178" t="inlineStr">
        <is>
          <t>HEDEMORA</t>
        </is>
      </c>
      <c r="G178" t="n">
        <v>0.9</v>
      </c>
      <c r="H178" t="n">
        <v>0</v>
      </c>
      <c r="I178" t="n">
        <v>0</v>
      </c>
      <c r="J178" t="n">
        <v>0</v>
      </c>
      <c r="K178" t="n">
        <v>0</v>
      </c>
      <c r="L178" t="n">
        <v>0</v>
      </c>
      <c r="M178" t="n">
        <v>0</v>
      </c>
      <c r="N178" t="n">
        <v>0</v>
      </c>
      <c r="O178" t="n">
        <v>0</v>
      </c>
      <c r="P178" t="n">
        <v>0</v>
      </c>
      <c r="Q178" t="n">
        <v>0</v>
      </c>
      <c r="R178" s="2" t="inlineStr"/>
    </row>
    <row r="179" ht="15" customHeight="1">
      <c r="A179" t="inlineStr">
        <is>
          <t>A 14968-2025</t>
        </is>
      </c>
      <c r="B179" s="1" t="n">
        <v>45743.59052083334</v>
      </c>
      <c r="C179" s="1" t="n">
        <v>45967</v>
      </c>
      <c r="D179" t="inlineStr">
        <is>
          <t>DALARNAS LÄN</t>
        </is>
      </c>
      <c r="E179" t="inlineStr">
        <is>
          <t>HEDEMORA</t>
        </is>
      </c>
      <c r="G179" t="n">
        <v>2.2</v>
      </c>
      <c r="H179" t="n">
        <v>0</v>
      </c>
      <c r="I179" t="n">
        <v>0</v>
      </c>
      <c r="J179" t="n">
        <v>0</v>
      </c>
      <c r="K179" t="n">
        <v>0</v>
      </c>
      <c r="L179" t="n">
        <v>0</v>
      </c>
      <c r="M179" t="n">
        <v>0</v>
      </c>
      <c r="N179" t="n">
        <v>0</v>
      </c>
      <c r="O179" t="n">
        <v>0</v>
      </c>
      <c r="P179" t="n">
        <v>0</v>
      </c>
      <c r="Q179" t="n">
        <v>0</v>
      </c>
      <c r="R179" s="2" t="inlineStr"/>
    </row>
    <row r="180" ht="15" customHeight="1">
      <c r="A180" t="inlineStr">
        <is>
          <t>A 21869-2025</t>
        </is>
      </c>
      <c r="B180" s="1" t="n">
        <v>45784.37449074074</v>
      </c>
      <c r="C180" s="1" t="n">
        <v>45967</v>
      </c>
      <c r="D180" t="inlineStr">
        <is>
          <t>DALARNAS LÄN</t>
        </is>
      </c>
      <c r="E180" t="inlineStr">
        <is>
          <t>HEDEMORA</t>
        </is>
      </c>
      <c r="F180" t="inlineStr">
        <is>
          <t>Sveaskog</t>
        </is>
      </c>
      <c r="G180" t="n">
        <v>3.3</v>
      </c>
      <c r="H180" t="n">
        <v>0</v>
      </c>
      <c r="I180" t="n">
        <v>0</v>
      </c>
      <c r="J180" t="n">
        <v>0</v>
      </c>
      <c r="K180" t="n">
        <v>0</v>
      </c>
      <c r="L180" t="n">
        <v>0</v>
      </c>
      <c r="M180" t="n">
        <v>0</v>
      </c>
      <c r="N180" t="n">
        <v>0</v>
      </c>
      <c r="O180" t="n">
        <v>0</v>
      </c>
      <c r="P180" t="n">
        <v>0</v>
      </c>
      <c r="Q180" t="n">
        <v>0</v>
      </c>
      <c r="R180" s="2" t="inlineStr"/>
    </row>
    <row r="181" ht="15" customHeight="1">
      <c r="A181" t="inlineStr">
        <is>
          <t>A 41642-2023</t>
        </is>
      </c>
      <c r="B181" s="1" t="n">
        <v>45175</v>
      </c>
      <c r="C181" s="1" t="n">
        <v>45967</v>
      </c>
      <c r="D181" t="inlineStr">
        <is>
          <t>DALARNAS LÄN</t>
        </is>
      </c>
      <c r="E181" t="inlineStr">
        <is>
          <t>HEDEMORA</t>
        </is>
      </c>
      <c r="G181" t="n">
        <v>2.8</v>
      </c>
      <c r="H181" t="n">
        <v>0</v>
      </c>
      <c r="I181" t="n">
        <v>0</v>
      </c>
      <c r="J181" t="n">
        <v>0</v>
      </c>
      <c r="K181" t="n">
        <v>0</v>
      </c>
      <c r="L181" t="n">
        <v>0</v>
      </c>
      <c r="M181" t="n">
        <v>0</v>
      </c>
      <c r="N181" t="n">
        <v>0</v>
      </c>
      <c r="O181" t="n">
        <v>0</v>
      </c>
      <c r="P181" t="n">
        <v>0</v>
      </c>
      <c r="Q181" t="n">
        <v>0</v>
      </c>
      <c r="R181" s="2" t="inlineStr"/>
    </row>
    <row r="182" ht="15" customHeight="1">
      <c r="A182" t="inlineStr">
        <is>
          <t>A 6441-2021</t>
        </is>
      </c>
      <c r="B182" s="1" t="n">
        <v>44235</v>
      </c>
      <c r="C182" s="1" t="n">
        <v>45967</v>
      </c>
      <c r="D182" t="inlineStr">
        <is>
          <t>DALARNAS LÄN</t>
        </is>
      </c>
      <c r="E182" t="inlineStr">
        <is>
          <t>HEDEMORA</t>
        </is>
      </c>
      <c r="G182" t="n">
        <v>0.7</v>
      </c>
      <c r="H182" t="n">
        <v>0</v>
      </c>
      <c r="I182" t="n">
        <v>0</v>
      </c>
      <c r="J182" t="n">
        <v>0</v>
      </c>
      <c r="K182" t="n">
        <v>0</v>
      </c>
      <c r="L182" t="n">
        <v>0</v>
      </c>
      <c r="M182" t="n">
        <v>0</v>
      </c>
      <c r="N182" t="n">
        <v>0</v>
      </c>
      <c r="O182" t="n">
        <v>0</v>
      </c>
      <c r="P182" t="n">
        <v>0</v>
      </c>
      <c r="Q182" t="n">
        <v>0</v>
      </c>
      <c r="R182" s="2" t="inlineStr"/>
    </row>
    <row r="183" ht="15" customHeight="1">
      <c r="A183" t="inlineStr">
        <is>
          <t>A 36306-2024</t>
        </is>
      </c>
      <c r="B183" s="1" t="n">
        <v>45534.61327546297</v>
      </c>
      <c r="C183" s="1" t="n">
        <v>45967</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17645-2022</t>
        </is>
      </c>
      <c r="B184" s="1" t="n">
        <v>44680.47903935185</v>
      </c>
      <c r="C184" s="1" t="n">
        <v>45967</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59632-2023</t>
        </is>
      </c>
      <c r="B185" s="1" t="n">
        <v>45254</v>
      </c>
      <c r="C185" s="1" t="n">
        <v>45967</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48076-2025</t>
        </is>
      </c>
      <c r="B186" s="1" t="n">
        <v>45932.7075</v>
      </c>
      <c r="C186" s="1" t="n">
        <v>45967</v>
      </c>
      <c r="D186" t="inlineStr">
        <is>
          <t>DALARNAS LÄN</t>
        </is>
      </c>
      <c r="E186" t="inlineStr">
        <is>
          <t>HEDEMORA</t>
        </is>
      </c>
      <c r="G186" t="n">
        <v>5.1</v>
      </c>
      <c r="H186" t="n">
        <v>0</v>
      </c>
      <c r="I186" t="n">
        <v>0</v>
      </c>
      <c r="J186" t="n">
        <v>0</v>
      </c>
      <c r="K186" t="n">
        <v>0</v>
      </c>
      <c r="L186" t="n">
        <v>0</v>
      </c>
      <c r="M186" t="n">
        <v>0</v>
      </c>
      <c r="N186" t="n">
        <v>0</v>
      </c>
      <c r="O186" t="n">
        <v>0</v>
      </c>
      <c r="P186" t="n">
        <v>0</v>
      </c>
      <c r="Q186" t="n">
        <v>0</v>
      </c>
      <c r="R186" s="2" t="inlineStr"/>
    </row>
    <row r="187" ht="15" customHeight="1">
      <c r="A187" t="inlineStr">
        <is>
          <t>A 17222-2025</t>
        </is>
      </c>
      <c r="B187" s="1" t="n">
        <v>45756.45504629629</v>
      </c>
      <c r="C187" s="1" t="n">
        <v>45967</v>
      </c>
      <c r="D187" t="inlineStr">
        <is>
          <t>DALARNAS LÄN</t>
        </is>
      </c>
      <c r="E187" t="inlineStr">
        <is>
          <t>HEDEMORA</t>
        </is>
      </c>
      <c r="G187" t="n">
        <v>0.5</v>
      </c>
      <c r="H187" t="n">
        <v>0</v>
      </c>
      <c r="I187" t="n">
        <v>0</v>
      </c>
      <c r="J187" t="n">
        <v>0</v>
      </c>
      <c r="K187" t="n">
        <v>0</v>
      </c>
      <c r="L187" t="n">
        <v>0</v>
      </c>
      <c r="M187" t="n">
        <v>0</v>
      </c>
      <c r="N187" t="n">
        <v>0</v>
      </c>
      <c r="O187" t="n">
        <v>0</v>
      </c>
      <c r="P187" t="n">
        <v>0</v>
      </c>
      <c r="Q187" t="n">
        <v>0</v>
      </c>
      <c r="R187" s="2" t="inlineStr"/>
    </row>
    <row r="188" ht="15" customHeight="1">
      <c r="A188" t="inlineStr">
        <is>
          <t>A 59232-2023</t>
        </is>
      </c>
      <c r="B188" s="1" t="n">
        <v>45253.5053587963</v>
      </c>
      <c r="C188" s="1" t="n">
        <v>45967</v>
      </c>
      <c r="D188" t="inlineStr">
        <is>
          <t>DALARNAS LÄN</t>
        </is>
      </c>
      <c r="E188" t="inlineStr">
        <is>
          <t>HEDEMORA</t>
        </is>
      </c>
      <c r="G188" t="n">
        <v>3.7</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45967</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39393-2025</t>
        </is>
      </c>
      <c r="B190" s="1" t="n">
        <v>45889.62287037037</v>
      </c>
      <c r="C190" s="1" t="n">
        <v>45967</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47841-2025</t>
        </is>
      </c>
      <c r="B191" s="1" t="n">
        <v>45932.37429398148</v>
      </c>
      <c r="C191" s="1" t="n">
        <v>45967</v>
      </c>
      <c r="D191" t="inlineStr">
        <is>
          <t>DALARNAS LÄN</t>
        </is>
      </c>
      <c r="E191" t="inlineStr">
        <is>
          <t>HEDEMORA</t>
        </is>
      </c>
      <c r="G191" t="n">
        <v>3</v>
      </c>
      <c r="H191" t="n">
        <v>0</v>
      </c>
      <c r="I191" t="n">
        <v>0</v>
      </c>
      <c r="J191" t="n">
        <v>0</v>
      </c>
      <c r="K191" t="n">
        <v>0</v>
      </c>
      <c r="L191" t="n">
        <v>0</v>
      </c>
      <c r="M191" t="n">
        <v>0</v>
      </c>
      <c r="N191" t="n">
        <v>0</v>
      </c>
      <c r="O191" t="n">
        <v>0</v>
      </c>
      <c r="P191" t="n">
        <v>0</v>
      </c>
      <c r="Q191" t="n">
        <v>0</v>
      </c>
      <c r="R191" s="2" t="inlineStr"/>
    </row>
    <row r="192" ht="15" customHeight="1">
      <c r="A192" t="inlineStr">
        <is>
          <t>A 39389-2025</t>
        </is>
      </c>
      <c r="B192" s="1" t="n">
        <v>45889.62181712963</v>
      </c>
      <c r="C192" s="1" t="n">
        <v>45967</v>
      </c>
      <c r="D192" t="inlineStr">
        <is>
          <t>DALARNAS LÄN</t>
        </is>
      </c>
      <c r="E192" t="inlineStr">
        <is>
          <t>HEDEMORA</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39390-2025</t>
        </is>
      </c>
      <c r="B193" s="1" t="n">
        <v>45889.6240625</v>
      </c>
      <c r="C193" s="1" t="n">
        <v>45967</v>
      </c>
      <c r="D193" t="inlineStr">
        <is>
          <t>DALARNAS LÄN</t>
        </is>
      </c>
      <c r="E193" t="inlineStr">
        <is>
          <t>HEDEMORA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20965-2025</t>
        </is>
      </c>
      <c r="B194" s="1" t="n">
        <v>45777.45135416667</v>
      </c>
      <c r="C194" s="1" t="n">
        <v>45967</v>
      </c>
      <c r="D194" t="inlineStr">
        <is>
          <t>DALARNAS LÄN</t>
        </is>
      </c>
      <c r="E194" t="inlineStr">
        <is>
          <t>HEDEMORA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63908-2021</t>
        </is>
      </c>
      <c r="B195" s="1" t="n">
        <v>44509.6580787037</v>
      </c>
      <c r="C195" s="1" t="n">
        <v>45967</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45589-2023</t>
        </is>
      </c>
      <c r="B196" s="1" t="n">
        <v>45194.63086805555</v>
      </c>
      <c r="C196" s="1" t="n">
        <v>45967</v>
      </c>
      <c r="D196" t="inlineStr">
        <is>
          <t>DALARNAS LÄN</t>
        </is>
      </c>
      <c r="E196" t="inlineStr">
        <is>
          <t>HEDEMORA</t>
        </is>
      </c>
      <c r="G196" t="n">
        <v>0.7</v>
      </c>
      <c r="H196" t="n">
        <v>0</v>
      </c>
      <c r="I196" t="n">
        <v>0</v>
      </c>
      <c r="J196" t="n">
        <v>0</v>
      </c>
      <c r="K196" t="n">
        <v>0</v>
      </c>
      <c r="L196" t="n">
        <v>0</v>
      </c>
      <c r="M196" t="n">
        <v>0</v>
      </c>
      <c r="N196" t="n">
        <v>0</v>
      </c>
      <c r="O196" t="n">
        <v>0</v>
      </c>
      <c r="P196" t="n">
        <v>0</v>
      </c>
      <c r="Q196" t="n">
        <v>0</v>
      </c>
      <c r="R196" s="2" t="inlineStr"/>
    </row>
    <row r="197" ht="15" customHeight="1">
      <c r="A197" t="inlineStr">
        <is>
          <t>A 54423-2023</t>
        </is>
      </c>
      <c r="B197" s="1" t="n">
        <v>45233.41666666666</v>
      </c>
      <c r="C197" s="1" t="n">
        <v>45967</v>
      </c>
      <c r="D197" t="inlineStr">
        <is>
          <t>DALARNAS LÄN</t>
        </is>
      </c>
      <c r="E197" t="inlineStr">
        <is>
          <t>HEDEMORA</t>
        </is>
      </c>
      <c r="G197" t="n">
        <v>3.4</v>
      </c>
      <c r="H197" t="n">
        <v>0</v>
      </c>
      <c r="I197" t="n">
        <v>0</v>
      </c>
      <c r="J197" t="n">
        <v>0</v>
      </c>
      <c r="K197" t="n">
        <v>0</v>
      </c>
      <c r="L197" t="n">
        <v>0</v>
      </c>
      <c r="M197" t="n">
        <v>0</v>
      </c>
      <c r="N197" t="n">
        <v>0</v>
      </c>
      <c r="O197" t="n">
        <v>0</v>
      </c>
      <c r="P197" t="n">
        <v>0</v>
      </c>
      <c r="Q197" t="n">
        <v>0</v>
      </c>
      <c r="R197" s="2" t="inlineStr"/>
    </row>
    <row r="198" ht="15" customHeight="1">
      <c r="A198" t="inlineStr">
        <is>
          <t>A 19688-2025</t>
        </is>
      </c>
      <c r="B198" s="1" t="n">
        <v>45770.88217592592</v>
      </c>
      <c r="C198" s="1" t="n">
        <v>45967</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34409-2022</t>
        </is>
      </c>
      <c r="B199" s="1" t="n">
        <v>44792</v>
      </c>
      <c r="C199" s="1" t="n">
        <v>45967</v>
      </c>
      <c r="D199" t="inlineStr">
        <is>
          <t>DALARNAS LÄN</t>
        </is>
      </c>
      <c r="E199" t="inlineStr">
        <is>
          <t>HEDEMORA</t>
        </is>
      </c>
      <c r="G199" t="n">
        <v>13.7</v>
      </c>
      <c r="H199" t="n">
        <v>0</v>
      </c>
      <c r="I199" t="n">
        <v>0</v>
      </c>
      <c r="J199" t="n">
        <v>0</v>
      </c>
      <c r="K199" t="n">
        <v>0</v>
      </c>
      <c r="L199" t="n">
        <v>0</v>
      </c>
      <c r="M199" t="n">
        <v>0</v>
      </c>
      <c r="N199" t="n">
        <v>0</v>
      </c>
      <c r="O199" t="n">
        <v>0</v>
      </c>
      <c r="P199" t="n">
        <v>0</v>
      </c>
      <c r="Q199" t="n">
        <v>0</v>
      </c>
      <c r="R199" s="2" t="inlineStr"/>
    </row>
    <row r="200" ht="15" customHeight="1">
      <c r="A200" t="inlineStr">
        <is>
          <t>A 32738-2022</t>
        </is>
      </c>
      <c r="B200" s="1" t="n">
        <v>44783.68931712963</v>
      </c>
      <c r="C200" s="1" t="n">
        <v>45967</v>
      </c>
      <c r="D200" t="inlineStr">
        <is>
          <t>DALARNAS LÄN</t>
        </is>
      </c>
      <c r="E200" t="inlineStr">
        <is>
          <t>HEDEMORA</t>
        </is>
      </c>
      <c r="G200" t="n">
        <v>2.6</v>
      </c>
      <c r="H200" t="n">
        <v>0</v>
      </c>
      <c r="I200" t="n">
        <v>0</v>
      </c>
      <c r="J200" t="n">
        <v>0</v>
      </c>
      <c r="K200" t="n">
        <v>0</v>
      </c>
      <c r="L200" t="n">
        <v>0</v>
      </c>
      <c r="M200" t="n">
        <v>0</v>
      </c>
      <c r="N200" t="n">
        <v>0</v>
      </c>
      <c r="O200" t="n">
        <v>0</v>
      </c>
      <c r="P200" t="n">
        <v>0</v>
      </c>
      <c r="Q200" t="n">
        <v>0</v>
      </c>
      <c r="R200" s="2" t="inlineStr"/>
    </row>
    <row r="201" ht="15" customHeight="1">
      <c r="A201" t="inlineStr">
        <is>
          <t>A 48381-2025</t>
        </is>
      </c>
      <c r="B201" s="1" t="n">
        <v>45933.81800925926</v>
      </c>
      <c r="C201" s="1" t="n">
        <v>45967</v>
      </c>
      <c r="D201" t="inlineStr">
        <is>
          <t>DALARNAS LÄN</t>
        </is>
      </c>
      <c r="E201" t="inlineStr">
        <is>
          <t>HEDEMORA</t>
        </is>
      </c>
      <c r="F201" t="inlineStr">
        <is>
          <t>Sveaskog</t>
        </is>
      </c>
      <c r="G201" t="n">
        <v>6.3</v>
      </c>
      <c r="H201" t="n">
        <v>0</v>
      </c>
      <c r="I201" t="n">
        <v>0</v>
      </c>
      <c r="J201" t="n">
        <v>0</v>
      </c>
      <c r="K201" t="n">
        <v>0</v>
      </c>
      <c r="L201" t="n">
        <v>0</v>
      </c>
      <c r="M201" t="n">
        <v>0</v>
      </c>
      <c r="N201" t="n">
        <v>0</v>
      </c>
      <c r="O201" t="n">
        <v>0</v>
      </c>
      <c r="P201" t="n">
        <v>0</v>
      </c>
      <c r="Q201" t="n">
        <v>0</v>
      </c>
      <c r="R201" s="2" t="inlineStr"/>
    </row>
    <row r="202" ht="15" customHeight="1">
      <c r="A202" t="inlineStr">
        <is>
          <t>A 3089-2024</t>
        </is>
      </c>
      <c r="B202" s="1" t="n">
        <v>45316</v>
      </c>
      <c r="C202" s="1" t="n">
        <v>45967</v>
      </c>
      <c r="D202" t="inlineStr">
        <is>
          <t>DALARNAS LÄN</t>
        </is>
      </c>
      <c r="E202" t="inlineStr">
        <is>
          <t>HEDEMORA</t>
        </is>
      </c>
      <c r="G202" t="n">
        <v>5.5</v>
      </c>
      <c r="H202" t="n">
        <v>0</v>
      </c>
      <c r="I202" t="n">
        <v>0</v>
      </c>
      <c r="J202" t="n">
        <v>0</v>
      </c>
      <c r="K202" t="n">
        <v>0</v>
      </c>
      <c r="L202" t="n">
        <v>0</v>
      </c>
      <c r="M202" t="n">
        <v>0</v>
      </c>
      <c r="N202" t="n">
        <v>0</v>
      </c>
      <c r="O202" t="n">
        <v>0</v>
      </c>
      <c r="P202" t="n">
        <v>0</v>
      </c>
      <c r="Q202" t="n">
        <v>0</v>
      </c>
      <c r="R202" s="2" t="inlineStr"/>
    </row>
    <row r="203" ht="15" customHeight="1">
      <c r="A203" t="inlineStr">
        <is>
          <t>A 19689-2025</t>
        </is>
      </c>
      <c r="B203" s="1" t="n">
        <v>45770.88462962963</v>
      </c>
      <c r="C203" s="1" t="n">
        <v>45967</v>
      </c>
      <c r="D203" t="inlineStr">
        <is>
          <t>DALARNAS LÄN</t>
        </is>
      </c>
      <c r="E203" t="inlineStr">
        <is>
          <t>HEDEMORA</t>
        </is>
      </c>
      <c r="G203" t="n">
        <v>1.1</v>
      </c>
      <c r="H203" t="n">
        <v>0</v>
      </c>
      <c r="I203" t="n">
        <v>0</v>
      </c>
      <c r="J203" t="n">
        <v>0</v>
      </c>
      <c r="K203" t="n">
        <v>0</v>
      </c>
      <c r="L203" t="n">
        <v>0</v>
      </c>
      <c r="M203" t="n">
        <v>0</v>
      </c>
      <c r="N203" t="n">
        <v>0</v>
      </c>
      <c r="O203" t="n">
        <v>0</v>
      </c>
      <c r="P203" t="n">
        <v>0</v>
      </c>
      <c r="Q203" t="n">
        <v>0</v>
      </c>
      <c r="R203" s="2" t="inlineStr"/>
    </row>
    <row r="204" ht="15" customHeight="1">
      <c r="A204" t="inlineStr">
        <is>
          <t>A 30572-2021</t>
        </is>
      </c>
      <c r="B204" s="1" t="n">
        <v>44364.83369212963</v>
      </c>
      <c r="C204" s="1" t="n">
        <v>45967</v>
      </c>
      <c r="D204" t="inlineStr">
        <is>
          <t>DALARNAS LÄN</t>
        </is>
      </c>
      <c r="E204" t="inlineStr">
        <is>
          <t>HEDEMORA</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45967</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62386-2023</t>
        </is>
      </c>
      <c r="B206" s="1" t="n">
        <v>45268</v>
      </c>
      <c r="C206" s="1" t="n">
        <v>45967</v>
      </c>
      <c r="D206" t="inlineStr">
        <is>
          <t>DALARNAS LÄN</t>
        </is>
      </c>
      <c r="E206" t="inlineStr">
        <is>
          <t>HEDEMORA</t>
        </is>
      </c>
      <c r="G206" t="n">
        <v>1.7</v>
      </c>
      <c r="H206" t="n">
        <v>0</v>
      </c>
      <c r="I206" t="n">
        <v>0</v>
      </c>
      <c r="J206" t="n">
        <v>0</v>
      </c>
      <c r="K206" t="n">
        <v>0</v>
      </c>
      <c r="L206" t="n">
        <v>0</v>
      </c>
      <c r="M206" t="n">
        <v>0</v>
      </c>
      <c r="N206" t="n">
        <v>0</v>
      </c>
      <c r="O206" t="n">
        <v>0</v>
      </c>
      <c r="P206" t="n">
        <v>0</v>
      </c>
      <c r="Q206" t="n">
        <v>0</v>
      </c>
      <c r="R206" s="2" t="inlineStr"/>
    </row>
    <row r="207" ht="15" customHeight="1">
      <c r="A207" t="inlineStr">
        <is>
          <t>A 63941-2023</t>
        </is>
      </c>
      <c r="B207" s="1" t="n">
        <v>45278.61277777778</v>
      </c>
      <c r="C207" s="1" t="n">
        <v>45967</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43785-2023</t>
        </is>
      </c>
      <c r="B208" s="1" t="n">
        <v>45187</v>
      </c>
      <c r="C208" s="1" t="n">
        <v>45967</v>
      </c>
      <c r="D208" t="inlineStr">
        <is>
          <t>DALARNAS LÄN</t>
        </is>
      </c>
      <c r="E208" t="inlineStr">
        <is>
          <t>HEDEMORA</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6210-2024</t>
        </is>
      </c>
      <c r="B209" s="1" t="n">
        <v>45337</v>
      </c>
      <c r="C209" s="1" t="n">
        <v>45967</v>
      </c>
      <c r="D209" t="inlineStr">
        <is>
          <t>DALARNAS LÄN</t>
        </is>
      </c>
      <c r="E209" t="inlineStr">
        <is>
          <t>HEDEMORA</t>
        </is>
      </c>
      <c r="G209" t="n">
        <v>2.6</v>
      </c>
      <c r="H209" t="n">
        <v>0</v>
      </c>
      <c r="I209" t="n">
        <v>0</v>
      </c>
      <c r="J209" t="n">
        <v>0</v>
      </c>
      <c r="K209" t="n">
        <v>0</v>
      </c>
      <c r="L209" t="n">
        <v>0</v>
      </c>
      <c r="M209" t="n">
        <v>0</v>
      </c>
      <c r="N209" t="n">
        <v>0</v>
      </c>
      <c r="O209" t="n">
        <v>0</v>
      </c>
      <c r="P209" t="n">
        <v>0</v>
      </c>
      <c r="Q209" t="n">
        <v>0</v>
      </c>
      <c r="R209" s="2" t="inlineStr"/>
    </row>
    <row r="210" ht="15" customHeight="1">
      <c r="A210" t="inlineStr">
        <is>
          <t>A 40419-2025</t>
        </is>
      </c>
      <c r="B210" s="1" t="n">
        <v>45895.57958333333</v>
      </c>
      <c r="C210" s="1" t="n">
        <v>45967</v>
      </c>
      <c r="D210" t="inlineStr">
        <is>
          <t>DALARNAS LÄN</t>
        </is>
      </c>
      <c r="E210" t="inlineStr">
        <is>
          <t>HEDEMORA</t>
        </is>
      </c>
      <c r="G210" t="n">
        <v>3.1</v>
      </c>
      <c r="H210" t="n">
        <v>0</v>
      </c>
      <c r="I210" t="n">
        <v>0</v>
      </c>
      <c r="J210" t="n">
        <v>0</v>
      </c>
      <c r="K210" t="n">
        <v>0</v>
      </c>
      <c r="L210" t="n">
        <v>0</v>
      </c>
      <c r="M210" t="n">
        <v>0</v>
      </c>
      <c r="N210" t="n">
        <v>0</v>
      </c>
      <c r="O210" t="n">
        <v>0</v>
      </c>
      <c r="P210" t="n">
        <v>0</v>
      </c>
      <c r="Q210" t="n">
        <v>0</v>
      </c>
      <c r="R210" s="2" t="inlineStr"/>
    </row>
    <row r="211" ht="15" customHeight="1">
      <c r="A211" t="inlineStr">
        <is>
          <t>A 40456-2025</t>
        </is>
      </c>
      <c r="B211" s="1" t="n">
        <v>45895.64342592593</v>
      </c>
      <c r="C211" s="1" t="n">
        <v>45967</v>
      </c>
      <c r="D211" t="inlineStr">
        <is>
          <t>DALARNAS LÄN</t>
        </is>
      </c>
      <c r="E211" t="inlineStr">
        <is>
          <t>HEDEMORA</t>
        </is>
      </c>
      <c r="F211" t="inlineStr">
        <is>
          <t>Bergvik skog väst AB</t>
        </is>
      </c>
      <c r="G211" t="n">
        <v>3.3</v>
      </c>
      <c r="H211" t="n">
        <v>0</v>
      </c>
      <c r="I211" t="n">
        <v>0</v>
      </c>
      <c r="J211" t="n">
        <v>0</v>
      </c>
      <c r="K211" t="n">
        <v>0</v>
      </c>
      <c r="L211" t="n">
        <v>0</v>
      </c>
      <c r="M211" t="n">
        <v>0</v>
      </c>
      <c r="N211" t="n">
        <v>0</v>
      </c>
      <c r="O211" t="n">
        <v>0</v>
      </c>
      <c r="P211" t="n">
        <v>0</v>
      </c>
      <c r="Q211" t="n">
        <v>0</v>
      </c>
      <c r="R211" s="2" t="inlineStr"/>
    </row>
    <row r="212" ht="15" customHeight="1">
      <c r="A212" t="inlineStr">
        <is>
          <t>A 21092-2023</t>
        </is>
      </c>
      <c r="B212" s="1" t="n">
        <v>45061</v>
      </c>
      <c r="C212" s="1" t="n">
        <v>45967</v>
      </c>
      <c r="D212" t="inlineStr">
        <is>
          <t>DALARNAS LÄN</t>
        </is>
      </c>
      <c r="E212" t="inlineStr">
        <is>
          <t>HEDEMORA</t>
        </is>
      </c>
      <c r="F212" t="inlineStr">
        <is>
          <t>Sveaskog</t>
        </is>
      </c>
      <c r="G212" t="n">
        <v>0.1</v>
      </c>
      <c r="H212" t="n">
        <v>0</v>
      </c>
      <c r="I212" t="n">
        <v>0</v>
      </c>
      <c r="J212" t="n">
        <v>0</v>
      </c>
      <c r="K212" t="n">
        <v>0</v>
      </c>
      <c r="L212" t="n">
        <v>0</v>
      </c>
      <c r="M212" t="n">
        <v>0</v>
      </c>
      <c r="N212" t="n">
        <v>0</v>
      </c>
      <c r="O212" t="n">
        <v>0</v>
      </c>
      <c r="P212" t="n">
        <v>0</v>
      </c>
      <c r="Q212" t="n">
        <v>0</v>
      </c>
      <c r="R212" s="2" t="inlineStr"/>
    </row>
    <row r="213" ht="15" customHeight="1">
      <c r="A213" t="inlineStr">
        <is>
          <t>A 40421-2025</t>
        </is>
      </c>
      <c r="B213" s="1" t="n">
        <v>45895.58449074074</v>
      </c>
      <c r="C213" s="1" t="n">
        <v>45967</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60786-2023</t>
        </is>
      </c>
      <c r="B214" s="1" t="n">
        <v>45260.64891203704</v>
      </c>
      <c r="C214" s="1" t="n">
        <v>45967</v>
      </c>
      <c r="D214" t="inlineStr">
        <is>
          <t>DALARNAS LÄN</t>
        </is>
      </c>
      <c r="E214" t="inlineStr">
        <is>
          <t>HEDEMORA</t>
        </is>
      </c>
      <c r="G214" t="n">
        <v>7.1</v>
      </c>
      <c r="H214" t="n">
        <v>0</v>
      </c>
      <c r="I214" t="n">
        <v>0</v>
      </c>
      <c r="J214" t="n">
        <v>0</v>
      </c>
      <c r="K214" t="n">
        <v>0</v>
      </c>
      <c r="L214" t="n">
        <v>0</v>
      </c>
      <c r="M214" t="n">
        <v>0</v>
      </c>
      <c r="N214" t="n">
        <v>0</v>
      </c>
      <c r="O214" t="n">
        <v>0</v>
      </c>
      <c r="P214" t="n">
        <v>0</v>
      </c>
      <c r="Q214" t="n">
        <v>0</v>
      </c>
      <c r="R214" s="2" t="inlineStr"/>
    </row>
    <row r="215" ht="15" customHeight="1">
      <c r="A215" t="inlineStr">
        <is>
          <t>A 62398-2023</t>
        </is>
      </c>
      <c r="B215" s="1" t="n">
        <v>45268</v>
      </c>
      <c r="C215" s="1" t="n">
        <v>45967</v>
      </c>
      <c r="D215" t="inlineStr">
        <is>
          <t>DALARNAS LÄN</t>
        </is>
      </c>
      <c r="E215" t="inlineStr">
        <is>
          <t>HEDEMORA</t>
        </is>
      </c>
      <c r="G215" t="n">
        <v>2.1</v>
      </c>
      <c r="H215" t="n">
        <v>0</v>
      </c>
      <c r="I215" t="n">
        <v>0</v>
      </c>
      <c r="J215" t="n">
        <v>0</v>
      </c>
      <c r="K215" t="n">
        <v>0</v>
      </c>
      <c r="L215" t="n">
        <v>0</v>
      </c>
      <c r="M215" t="n">
        <v>0</v>
      </c>
      <c r="N215" t="n">
        <v>0</v>
      </c>
      <c r="O215" t="n">
        <v>0</v>
      </c>
      <c r="P215" t="n">
        <v>0</v>
      </c>
      <c r="Q215" t="n">
        <v>0</v>
      </c>
      <c r="R215" s="2" t="inlineStr"/>
    </row>
    <row r="216" ht="15" customHeight="1">
      <c r="A216" t="inlineStr">
        <is>
          <t>A 57745-2024</t>
        </is>
      </c>
      <c r="B216" s="1" t="n">
        <v>45630.77605324074</v>
      </c>
      <c r="C216" s="1" t="n">
        <v>45967</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17594-2025</t>
        </is>
      </c>
      <c r="B217" s="1" t="n">
        <v>45757</v>
      </c>
      <c r="C217" s="1" t="n">
        <v>45967</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48320-2024</t>
        </is>
      </c>
      <c r="B218" s="1" t="n">
        <v>45590.4999537037</v>
      </c>
      <c r="C218" s="1" t="n">
        <v>45967</v>
      </c>
      <c r="D218" t="inlineStr">
        <is>
          <t>DALARNAS LÄN</t>
        </is>
      </c>
      <c r="E218" t="inlineStr">
        <is>
          <t>HEDEMORA</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36900-2022</t>
        </is>
      </c>
      <c r="B219" s="1" t="n">
        <v>44805.71435185185</v>
      </c>
      <c r="C219" s="1" t="n">
        <v>45967</v>
      </c>
      <c r="D219" t="inlineStr">
        <is>
          <t>DALARNAS LÄN</t>
        </is>
      </c>
      <c r="E219" t="inlineStr">
        <is>
          <t>HEDEMORA</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49772-2025</t>
        </is>
      </c>
      <c r="B220" s="1" t="n">
        <v>45940.37288194444</v>
      </c>
      <c r="C220" s="1" t="n">
        <v>45967</v>
      </c>
      <c r="D220" t="inlineStr">
        <is>
          <t>DALARNAS LÄN</t>
        </is>
      </c>
      <c r="E220" t="inlineStr">
        <is>
          <t>HEDEMORA</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26431-2024</t>
        </is>
      </c>
      <c r="B221" s="1" t="n">
        <v>45469.48282407408</v>
      </c>
      <c r="C221" s="1" t="n">
        <v>45967</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c r="U221">
        <f>HYPERLINK("https://klasma.github.io/Logging_2083/knärot/A 26431-2024 karta knärot.png", "A 26431-2024")</f>
        <v/>
      </c>
      <c r="V221">
        <f>HYPERLINK("https://klasma.github.io/Logging_2083/klagomål/A 26431-2024 FSC-klagomål.docx", "A 26431-2024")</f>
        <v/>
      </c>
      <c r="W221">
        <f>HYPERLINK("https://klasma.github.io/Logging_2083/klagomålsmail/A 26431-2024 FSC-klagomål mail.docx", "A 26431-2024")</f>
        <v/>
      </c>
      <c r="X221">
        <f>HYPERLINK("https://klasma.github.io/Logging_2083/tillsyn/A 26431-2024 tillsynsbegäran.docx", "A 26431-2024")</f>
        <v/>
      </c>
      <c r="Y221">
        <f>HYPERLINK("https://klasma.github.io/Logging_2083/tillsynsmail/A 26431-2024 tillsynsbegäran mail.docx", "A 26431-2024")</f>
        <v/>
      </c>
    </row>
    <row r="222" ht="15" customHeight="1">
      <c r="A222" t="inlineStr">
        <is>
          <t>A 49771-2025</t>
        </is>
      </c>
      <c r="B222" s="1" t="n">
        <v>45940.36981481482</v>
      </c>
      <c r="C222" s="1" t="n">
        <v>45967</v>
      </c>
      <c r="D222" t="inlineStr">
        <is>
          <t>DALARNAS LÄN</t>
        </is>
      </c>
      <c r="E222" t="inlineStr">
        <is>
          <t>HEDEMORA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30430-2023</t>
        </is>
      </c>
      <c r="B223" s="1" t="n">
        <v>45111.54344907407</v>
      </c>
      <c r="C223" s="1" t="n">
        <v>45967</v>
      </c>
      <c r="D223" t="inlineStr">
        <is>
          <t>DALARNAS LÄN</t>
        </is>
      </c>
      <c r="E223" t="inlineStr">
        <is>
          <t>HEDEMORA</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49942-2025</t>
        </is>
      </c>
      <c r="B224" s="1" t="n">
        <v>45940.69508101852</v>
      </c>
      <c r="C224" s="1" t="n">
        <v>45967</v>
      </c>
      <c r="D224" t="inlineStr">
        <is>
          <t>DALARNAS LÄN</t>
        </is>
      </c>
      <c r="E224" t="inlineStr">
        <is>
          <t>HEDEMORA</t>
        </is>
      </c>
      <c r="G224" t="n">
        <v>2</v>
      </c>
      <c r="H224" t="n">
        <v>0</v>
      </c>
      <c r="I224" t="n">
        <v>0</v>
      </c>
      <c r="J224" t="n">
        <v>0</v>
      </c>
      <c r="K224" t="n">
        <v>0</v>
      </c>
      <c r="L224" t="n">
        <v>0</v>
      </c>
      <c r="M224" t="n">
        <v>0</v>
      </c>
      <c r="N224" t="n">
        <v>0</v>
      </c>
      <c r="O224" t="n">
        <v>0</v>
      </c>
      <c r="P224" t="n">
        <v>0</v>
      </c>
      <c r="Q224" t="n">
        <v>0</v>
      </c>
      <c r="R224" s="2" t="inlineStr"/>
    </row>
    <row r="225" ht="15" customHeight="1">
      <c r="A225" t="inlineStr">
        <is>
          <t>A 23501-2023</t>
        </is>
      </c>
      <c r="B225" s="1" t="n">
        <v>45076.73979166667</v>
      </c>
      <c r="C225" s="1" t="n">
        <v>45967</v>
      </c>
      <c r="D225" t="inlineStr">
        <is>
          <t>DALARNAS LÄN</t>
        </is>
      </c>
      <c r="E225" t="inlineStr">
        <is>
          <t>HEDEMORA</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62188-2023</t>
        </is>
      </c>
      <c r="B226" s="1" t="n">
        <v>45267</v>
      </c>
      <c r="C226" s="1" t="n">
        <v>45967</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60408-2021</t>
        </is>
      </c>
      <c r="B227" s="1" t="n">
        <v>44495</v>
      </c>
      <c r="C227" s="1" t="n">
        <v>45967</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62401-2023</t>
        </is>
      </c>
      <c r="B228" s="1" t="n">
        <v>45268</v>
      </c>
      <c r="C228" s="1" t="n">
        <v>45967</v>
      </c>
      <c r="D228" t="inlineStr">
        <is>
          <t>DALARNAS LÄN</t>
        </is>
      </c>
      <c r="E228" t="inlineStr">
        <is>
          <t>HEDEMORA</t>
        </is>
      </c>
      <c r="G228" t="n">
        <v>1.6</v>
      </c>
      <c r="H228" t="n">
        <v>0</v>
      </c>
      <c r="I228" t="n">
        <v>0</v>
      </c>
      <c r="J228" t="n">
        <v>0</v>
      </c>
      <c r="K228" t="n">
        <v>0</v>
      </c>
      <c r="L228" t="n">
        <v>0</v>
      </c>
      <c r="M228" t="n">
        <v>0</v>
      </c>
      <c r="N228" t="n">
        <v>0</v>
      </c>
      <c r="O228" t="n">
        <v>0</v>
      </c>
      <c r="P228" t="n">
        <v>0</v>
      </c>
      <c r="Q228" t="n">
        <v>0</v>
      </c>
      <c r="R228" s="2" t="inlineStr"/>
    </row>
    <row r="229" ht="15" customHeight="1">
      <c r="A229" t="inlineStr">
        <is>
          <t>A 48380-2024</t>
        </is>
      </c>
      <c r="B229" s="1" t="n">
        <v>45590</v>
      </c>
      <c r="C229" s="1" t="n">
        <v>45967</v>
      </c>
      <c r="D229" t="inlineStr">
        <is>
          <t>DALARNAS LÄN</t>
        </is>
      </c>
      <c r="E229" t="inlineStr">
        <is>
          <t>HEDEMORA</t>
        </is>
      </c>
      <c r="G229" t="n">
        <v>1.5</v>
      </c>
      <c r="H229" t="n">
        <v>0</v>
      </c>
      <c r="I229" t="n">
        <v>0</v>
      </c>
      <c r="J229" t="n">
        <v>0</v>
      </c>
      <c r="K229" t="n">
        <v>0</v>
      </c>
      <c r="L229" t="n">
        <v>0</v>
      </c>
      <c r="M229" t="n">
        <v>0</v>
      </c>
      <c r="N229" t="n">
        <v>0</v>
      </c>
      <c r="O229" t="n">
        <v>0</v>
      </c>
      <c r="P229" t="n">
        <v>0</v>
      </c>
      <c r="Q229" t="n">
        <v>0</v>
      </c>
      <c r="R229" s="2" t="inlineStr"/>
    </row>
    <row r="230" ht="15" customHeight="1">
      <c r="A230" t="inlineStr">
        <is>
          <t>A 18572-2025</t>
        </is>
      </c>
      <c r="B230" s="1" t="n">
        <v>45763</v>
      </c>
      <c r="C230" s="1" t="n">
        <v>45967</v>
      </c>
      <c r="D230" t="inlineStr">
        <is>
          <t>DALARNAS LÄN</t>
        </is>
      </c>
      <c r="E230" t="inlineStr">
        <is>
          <t>HEDEMORA</t>
        </is>
      </c>
      <c r="G230" t="n">
        <v>0.9</v>
      </c>
      <c r="H230" t="n">
        <v>0</v>
      </c>
      <c r="I230" t="n">
        <v>0</v>
      </c>
      <c r="J230" t="n">
        <v>0</v>
      </c>
      <c r="K230" t="n">
        <v>0</v>
      </c>
      <c r="L230" t="n">
        <v>0</v>
      </c>
      <c r="M230" t="n">
        <v>0</v>
      </c>
      <c r="N230" t="n">
        <v>0</v>
      </c>
      <c r="O230" t="n">
        <v>0</v>
      </c>
      <c r="P230" t="n">
        <v>0</v>
      </c>
      <c r="Q230" t="n">
        <v>0</v>
      </c>
      <c r="R230" s="2" t="inlineStr"/>
    </row>
    <row r="231" ht="15" customHeight="1">
      <c r="A231" t="inlineStr">
        <is>
          <t>A 48254-2023</t>
        </is>
      </c>
      <c r="B231" s="1" t="n">
        <v>45205.53241898148</v>
      </c>
      <c r="C231" s="1" t="n">
        <v>45967</v>
      </c>
      <c r="D231" t="inlineStr">
        <is>
          <t>DALARNAS LÄN</t>
        </is>
      </c>
      <c r="E231" t="inlineStr">
        <is>
          <t>HEDEMORA</t>
        </is>
      </c>
      <c r="F231" t="inlineStr">
        <is>
          <t>Sveaskog</t>
        </is>
      </c>
      <c r="G231" t="n">
        <v>1.5</v>
      </c>
      <c r="H231" t="n">
        <v>0</v>
      </c>
      <c r="I231" t="n">
        <v>0</v>
      </c>
      <c r="J231" t="n">
        <v>0</v>
      </c>
      <c r="K231" t="n">
        <v>0</v>
      </c>
      <c r="L231" t="n">
        <v>0</v>
      </c>
      <c r="M231" t="n">
        <v>0</v>
      </c>
      <c r="N231" t="n">
        <v>0</v>
      </c>
      <c r="O231" t="n">
        <v>0</v>
      </c>
      <c r="P231" t="n">
        <v>0</v>
      </c>
      <c r="Q231" t="n">
        <v>0</v>
      </c>
      <c r="R231" s="2" t="inlineStr"/>
      <c r="U231">
        <f>HYPERLINK("https://klasma.github.io/Logging_2083/knärot/A 48254-2023 karta knärot.png", "A 48254-2023")</f>
        <v/>
      </c>
      <c r="V231">
        <f>HYPERLINK("https://klasma.github.io/Logging_2083/klagomål/A 48254-2023 FSC-klagomål.docx", "A 48254-2023")</f>
        <v/>
      </c>
      <c r="W231">
        <f>HYPERLINK("https://klasma.github.io/Logging_2083/klagomålsmail/A 48254-2023 FSC-klagomål mail.docx", "A 48254-2023")</f>
        <v/>
      </c>
      <c r="X231">
        <f>HYPERLINK("https://klasma.github.io/Logging_2083/tillsyn/A 48254-2023 tillsynsbegäran.docx", "A 48254-2023")</f>
        <v/>
      </c>
      <c r="Y231">
        <f>HYPERLINK("https://klasma.github.io/Logging_2083/tillsynsmail/A 48254-2023 tillsynsbegäran mail.docx", "A 48254-2023")</f>
        <v/>
      </c>
    </row>
    <row r="232" ht="15" customHeight="1">
      <c r="A232" t="inlineStr">
        <is>
          <t>A 32071-2021</t>
        </is>
      </c>
      <c r="B232" s="1" t="n">
        <v>44370.90546296296</v>
      </c>
      <c r="C232" s="1" t="n">
        <v>45967</v>
      </c>
      <c r="D232" t="inlineStr">
        <is>
          <t>DALARNAS LÄN</t>
        </is>
      </c>
      <c r="E232" t="inlineStr">
        <is>
          <t>HEDEMORA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21763-2024</t>
        </is>
      </c>
      <c r="B233" s="1" t="n">
        <v>45442.60204861111</v>
      </c>
      <c r="C233" s="1" t="n">
        <v>45967</v>
      </c>
      <c r="D233" t="inlineStr">
        <is>
          <t>DALARNAS LÄN</t>
        </is>
      </c>
      <c r="E233" t="inlineStr">
        <is>
          <t>HEDEMORA</t>
        </is>
      </c>
      <c r="G233" t="n">
        <v>1.6</v>
      </c>
      <c r="H233" t="n">
        <v>0</v>
      </c>
      <c r="I233" t="n">
        <v>0</v>
      </c>
      <c r="J233" t="n">
        <v>0</v>
      </c>
      <c r="K233" t="n">
        <v>0</v>
      </c>
      <c r="L233" t="n">
        <v>0</v>
      </c>
      <c r="M233" t="n">
        <v>0</v>
      </c>
      <c r="N233" t="n">
        <v>0</v>
      </c>
      <c r="O233" t="n">
        <v>0</v>
      </c>
      <c r="P233" t="n">
        <v>0</v>
      </c>
      <c r="Q233" t="n">
        <v>0</v>
      </c>
      <c r="R233" s="2" t="inlineStr"/>
    </row>
    <row r="234" ht="15" customHeight="1">
      <c r="A234" t="inlineStr">
        <is>
          <t>A 50115-2025</t>
        </is>
      </c>
      <c r="B234" s="1" t="n">
        <v>45943.54636574074</v>
      </c>
      <c r="C234" s="1" t="n">
        <v>45967</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51256-2024</t>
        </is>
      </c>
      <c r="B235" s="1" t="n">
        <v>45603.68902777778</v>
      </c>
      <c r="C235" s="1" t="n">
        <v>45967</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50101-2025</t>
        </is>
      </c>
      <c r="B236" s="1" t="n">
        <v>45943.53317129629</v>
      </c>
      <c r="C236" s="1" t="n">
        <v>45967</v>
      </c>
      <c r="D236" t="inlineStr">
        <is>
          <t>DALARNAS LÄN</t>
        </is>
      </c>
      <c r="E236" t="inlineStr">
        <is>
          <t>HEDEMORA</t>
        </is>
      </c>
      <c r="G236" t="n">
        <v>3.5</v>
      </c>
      <c r="H236" t="n">
        <v>0</v>
      </c>
      <c r="I236" t="n">
        <v>0</v>
      </c>
      <c r="J236" t="n">
        <v>0</v>
      </c>
      <c r="K236" t="n">
        <v>0</v>
      </c>
      <c r="L236" t="n">
        <v>0</v>
      </c>
      <c r="M236" t="n">
        <v>0</v>
      </c>
      <c r="N236" t="n">
        <v>0</v>
      </c>
      <c r="O236" t="n">
        <v>0</v>
      </c>
      <c r="P236" t="n">
        <v>0</v>
      </c>
      <c r="Q236" t="n">
        <v>0</v>
      </c>
      <c r="R236" s="2" t="inlineStr"/>
    </row>
    <row r="237" ht="15" customHeight="1">
      <c r="A237" t="inlineStr">
        <is>
          <t>A 50040-2025</t>
        </is>
      </c>
      <c r="B237" s="1" t="n">
        <v>45943.40377314815</v>
      </c>
      <c r="C237" s="1" t="n">
        <v>45967</v>
      </c>
      <c r="D237" t="inlineStr">
        <is>
          <t>DALARNAS LÄN</t>
        </is>
      </c>
      <c r="E237" t="inlineStr">
        <is>
          <t>HEDEMORA</t>
        </is>
      </c>
      <c r="G237" t="n">
        <v>0.6</v>
      </c>
      <c r="H237" t="n">
        <v>0</v>
      </c>
      <c r="I237" t="n">
        <v>0</v>
      </c>
      <c r="J237" t="n">
        <v>0</v>
      </c>
      <c r="K237" t="n">
        <v>0</v>
      </c>
      <c r="L237" t="n">
        <v>0</v>
      </c>
      <c r="M237" t="n">
        <v>0</v>
      </c>
      <c r="N237" t="n">
        <v>0</v>
      </c>
      <c r="O237" t="n">
        <v>0</v>
      </c>
      <c r="P237" t="n">
        <v>0</v>
      </c>
      <c r="Q237" t="n">
        <v>0</v>
      </c>
      <c r="R237" s="2" t="inlineStr"/>
    </row>
    <row r="238" ht="15" customHeight="1">
      <c r="A238" t="inlineStr">
        <is>
          <t>A 8342-2025</t>
        </is>
      </c>
      <c r="B238" s="1" t="n">
        <v>45708.67251157408</v>
      </c>
      <c r="C238" s="1" t="n">
        <v>45967</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50038-2025</t>
        </is>
      </c>
      <c r="B239" s="1" t="n">
        <v>45943.40084490741</v>
      </c>
      <c r="C239" s="1" t="n">
        <v>45967</v>
      </c>
      <c r="D239" t="inlineStr">
        <is>
          <t>DALARNAS LÄN</t>
        </is>
      </c>
      <c r="E239" t="inlineStr">
        <is>
          <t>HEDEMORA</t>
        </is>
      </c>
      <c r="G239" t="n">
        <v>2.9</v>
      </c>
      <c r="H239" t="n">
        <v>0</v>
      </c>
      <c r="I239" t="n">
        <v>0</v>
      </c>
      <c r="J239" t="n">
        <v>0</v>
      </c>
      <c r="K239" t="n">
        <v>0</v>
      </c>
      <c r="L239" t="n">
        <v>0</v>
      </c>
      <c r="M239" t="n">
        <v>0</v>
      </c>
      <c r="N239" t="n">
        <v>0</v>
      </c>
      <c r="O239" t="n">
        <v>0</v>
      </c>
      <c r="P239" t="n">
        <v>0</v>
      </c>
      <c r="Q239" t="n">
        <v>0</v>
      </c>
      <c r="R239" s="2" t="inlineStr"/>
    </row>
    <row r="240" ht="15" customHeight="1">
      <c r="A240" t="inlineStr">
        <is>
          <t>A 50043-2025</t>
        </is>
      </c>
      <c r="B240" s="1" t="n">
        <v>45943.40546296296</v>
      </c>
      <c r="C240" s="1" t="n">
        <v>45967</v>
      </c>
      <c r="D240" t="inlineStr">
        <is>
          <t>DALARNAS LÄN</t>
        </is>
      </c>
      <c r="E240" t="inlineStr">
        <is>
          <t>HEDEMORA</t>
        </is>
      </c>
      <c r="G240" t="n">
        <v>0.8</v>
      </c>
      <c r="H240" t="n">
        <v>0</v>
      </c>
      <c r="I240" t="n">
        <v>0</v>
      </c>
      <c r="J240" t="n">
        <v>0</v>
      </c>
      <c r="K240" t="n">
        <v>0</v>
      </c>
      <c r="L240" t="n">
        <v>0</v>
      </c>
      <c r="M240" t="n">
        <v>0</v>
      </c>
      <c r="N240" t="n">
        <v>0</v>
      </c>
      <c r="O240" t="n">
        <v>0</v>
      </c>
      <c r="P240" t="n">
        <v>0</v>
      </c>
      <c r="Q240" t="n">
        <v>0</v>
      </c>
      <c r="R240" s="2" t="inlineStr"/>
    </row>
    <row r="241" ht="15" customHeight="1">
      <c r="A241" t="inlineStr">
        <is>
          <t>A 53923-2024</t>
        </is>
      </c>
      <c r="B241" s="1" t="n">
        <v>45615.79806712963</v>
      </c>
      <c r="C241" s="1" t="n">
        <v>45967</v>
      </c>
      <c r="D241" t="inlineStr">
        <is>
          <t>DALARNAS LÄN</t>
        </is>
      </c>
      <c r="E241" t="inlineStr">
        <is>
          <t>HEDEMORA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385-2024</t>
        </is>
      </c>
      <c r="B242" s="1" t="n">
        <v>45296</v>
      </c>
      <c r="C242" s="1" t="n">
        <v>45967</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15833-2025</t>
        </is>
      </c>
      <c r="B243" s="1" t="n">
        <v>45748.85107638889</v>
      </c>
      <c r="C243" s="1" t="n">
        <v>45967</v>
      </c>
      <c r="D243" t="inlineStr">
        <is>
          <t>DALARNAS LÄN</t>
        </is>
      </c>
      <c r="E243" t="inlineStr">
        <is>
          <t>HEDEMORA</t>
        </is>
      </c>
      <c r="G243" t="n">
        <v>0.4</v>
      </c>
      <c r="H243" t="n">
        <v>0</v>
      </c>
      <c r="I243" t="n">
        <v>0</v>
      </c>
      <c r="J243" t="n">
        <v>0</v>
      </c>
      <c r="K243" t="n">
        <v>0</v>
      </c>
      <c r="L243" t="n">
        <v>0</v>
      </c>
      <c r="M243" t="n">
        <v>0</v>
      </c>
      <c r="N243" t="n">
        <v>0</v>
      </c>
      <c r="O243" t="n">
        <v>0</v>
      </c>
      <c r="P243" t="n">
        <v>0</v>
      </c>
      <c r="Q243" t="n">
        <v>0</v>
      </c>
      <c r="R243" s="2" t="inlineStr"/>
    </row>
    <row r="244" ht="15" customHeight="1">
      <c r="A244" t="inlineStr">
        <is>
          <t>A 50078-2025</t>
        </is>
      </c>
      <c r="B244" s="1" t="n">
        <v>45943</v>
      </c>
      <c r="C244" s="1" t="n">
        <v>45967</v>
      </c>
      <c r="D244" t="inlineStr">
        <is>
          <t>DALARNAS LÄN</t>
        </is>
      </c>
      <c r="E244" t="inlineStr">
        <is>
          <t>HEDEMORA</t>
        </is>
      </c>
      <c r="G244" t="n">
        <v>2.5</v>
      </c>
      <c r="H244" t="n">
        <v>0</v>
      </c>
      <c r="I244" t="n">
        <v>0</v>
      </c>
      <c r="J244" t="n">
        <v>0</v>
      </c>
      <c r="K244" t="n">
        <v>0</v>
      </c>
      <c r="L244" t="n">
        <v>0</v>
      </c>
      <c r="M244" t="n">
        <v>0</v>
      </c>
      <c r="N244" t="n">
        <v>0</v>
      </c>
      <c r="O244" t="n">
        <v>0</v>
      </c>
      <c r="P244" t="n">
        <v>0</v>
      </c>
      <c r="Q244" t="n">
        <v>0</v>
      </c>
      <c r="R244" s="2" t="inlineStr"/>
    </row>
    <row r="245" ht="15" customHeight="1">
      <c r="A245" t="inlineStr">
        <is>
          <t>A 23435-2025</t>
        </is>
      </c>
      <c r="B245" s="1" t="n">
        <v>45792.37162037037</v>
      </c>
      <c r="C245" s="1" t="n">
        <v>45967</v>
      </c>
      <c r="D245" t="inlineStr">
        <is>
          <t>DALARNAS LÄN</t>
        </is>
      </c>
      <c r="E245" t="inlineStr">
        <is>
          <t>HEDEMORA</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26452-2024</t>
        </is>
      </c>
      <c r="B246" s="1" t="n">
        <v>45469.51145833333</v>
      </c>
      <c r="C246" s="1" t="n">
        <v>45967</v>
      </c>
      <c r="D246" t="inlineStr">
        <is>
          <t>DALARNAS LÄN</t>
        </is>
      </c>
      <c r="E246" t="inlineStr">
        <is>
          <t>HEDEMORA</t>
        </is>
      </c>
      <c r="G246" t="n">
        <v>2.3</v>
      </c>
      <c r="H246" t="n">
        <v>0</v>
      </c>
      <c r="I246" t="n">
        <v>0</v>
      </c>
      <c r="J246" t="n">
        <v>0</v>
      </c>
      <c r="K246" t="n">
        <v>0</v>
      </c>
      <c r="L246" t="n">
        <v>0</v>
      </c>
      <c r="M246" t="n">
        <v>0</v>
      </c>
      <c r="N246" t="n">
        <v>0</v>
      </c>
      <c r="O246" t="n">
        <v>0</v>
      </c>
      <c r="P246" t="n">
        <v>0</v>
      </c>
      <c r="Q246" t="n">
        <v>0</v>
      </c>
      <c r="R246" s="2" t="inlineStr"/>
    </row>
    <row r="247" ht="15" customHeight="1">
      <c r="A247" t="inlineStr">
        <is>
          <t>A 19920-2025</t>
        </is>
      </c>
      <c r="B247" s="1" t="n">
        <v>45771</v>
      </c>
      <c r="C247" s="1" t="n">
        <v>45967</v>
      </c>
      <c r="D247" t="inlineStr">
        <is>
          <t>DALARNAS LÄN</t>
        </is>
      </c>
      <c r="E247" t="inlineStr">
        <is>
          <t>HEDEMORA</t>
        </is>
      </c>
      <c r="G247" t="n">
        <v>2.8</v>
      </c>
      <c r="H247" t="n">
        <v>0</v>
      </c>
      <c r="I247" t="n">
        <v>0</v>
      </c>
      <c r="J247" t="n">
        <v>0</v>
      </c>
      <c r="K247" t="n">
        <v>0</v>
      </c>
      <c r="L247" t="n">
        <v>0</v>
      </c>
      <c r="M247" t="n">
        <v>0</v>
      </c>
      <c r="N247" t="n">
        <v>0</v>
      </c>
      <c r="O247" t="n">
        <v>0</v>
      </c>
      <c r="P247" t="n">
        <v>0</v>
      </c>
      <c r="Q247" t="n">
        <v>0</v>
      </c>
      <c r="R247" s="2" t="inlineStr"/>
    </row>
    <row r="248" ht="15" customHeight="1">
      <c r="A248" t="inlineStr">
        <is>
          <t>A 12136-2025</t>
        </is>
      </c>
      <c r="B248" s="1" t="n">
        <v>45729.39300925926</v>
      </c>
      <c r="C248" s="1" t="n">
        <v>45967</v>
      </c>
      <c r="D248" t="inlineStr">
        <is>
          <t>DALARNAS LÄN</t>
        </is>
      </c>
      <c r="E248" t="inlineStr">
        <is>
          <t>HEDEMORA</t>
        </is>
      </c>
      <c r="G248" t="n">
        <v>1.5</v>
      </c>
      <c r="H248" t="n">
        <v>0</v>
      </c>
      <c r="I248" t="n">
        <v>0</v>
      </c>
      <c r="J248" t="n">
        <v>0</v>
      </c>
      <c r="K248" t="n">
        <v>0</v>
      </c>
      <c r="L248" t="n">
        <v>0</v>
      </c>
      <c r="M248" t="n">
        <v>0</v>
      </c>
      <c r="N248" t="n">
        <v>0</v>
      </c>
      <c r="O248" t="n">
        <v>0</v>
      </c>
      <c r="P248" t="n">
        <v>0</v>
      </c>
      <c r="Q248" t="n">
        <v>0</v>
      </c>
      <c r="R248" s="2" t="inlineStr"/>
    </row>
    <row r="249" ht="15" customHeight="1">
      <c r="A249" t="inlineStr">
        <is>
          <t>A 40919-2023</t>
        </is>
      </c>
      <c r="B249" s="1" t="n">
        <v>45173.42707175926</v>
      </c>
      <c r="C249" s="1" t="n">
        <v>45967</v>
      </c>
      <c r="D249" t="inlineStr">
        <is>
          <t>DALARNAS LÄN</t>
        </is>
      </c>
      <c r="E249" t="inlineStr">
        <is>
          <t>HEDEMORA</t>
        </is>
      </c>
      <c r="F249" t="inlineStr">
        <is>
          <t>Bergvik skog väst AB</t>
        </is>
      </c>
      <c r="G249" t="n">
        <v>2.6</v>
      </c>
      <c r="H249" t="n">
        <v>0</v>
      </c>
      <c r="I249" t="n">
        <v>0</v>
      </c>
      <c r="J249" t="n">
        <v>0</v>
      </c>
      <c r="K249" t="n">
        <v>0</v>
      </c>
      <c r="L249" t="n">
        <v>0</v>
      </c>
      <c r="M249" t="n">
        <v>0</v>
      </c>
      <c r="N249" t="n">
        <v>0</v>
      </c>
      <c r="O249" t="n">
        <v>0</v>
      </c>
      <c r="P249" t="n">
        <v>0</v>
      </c>
      <c r="Q249" t="n">
        <v>0</v>
      </c>
      <c r="R249" s="2" t="inlineStr"/>
    </row>
    <row r="250" ht="15" customHeight="1">
      <c r="A250" t="inlineStr">
        <is>
          <t>A 25643-2024</t>
        </is>
      </c>
      <c r="B250" s="1" t="n">
        <v>45463.66436342592</v>
      </c>
      <c r="C250" s="1" t="n">
        <v>45967</v>
      </c>
      <c r="D250" t="inlineStr">
        <is>
          <t>DALARNAS LÄN</t>
        </is>
      </c>
      <c r="E250" t="inlineStr">
        <is>
          <t>HEDEMORA</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20666-2024</t>
        </is>
      </c>
      <c r="B251" s="1" t="n">
        <v>45436</v>
      </c>
      <c r="C251" s="1" t="n">
        <v>45967</v>
      </c>
      <c r="D251" t="inlineStr">
        <is>
          <t>DALARNAS LÄN</t>
        </is>
      </c>
      <c r="E251" t="inlineStr">
        <is>
          <t>HEDEMORA</t>
        </is>
      </c>
      <c r="G251" t="n">
        <v>5.1</v>
      </c>
      <c r="H251" t="n">
        <v>0</v>
      </c>
      <c r="I251" t="n">
        <v>0</v>
      </c>
      <c r="J251" t="n">
        <v>0</v>
      </c>
      <c r="K251" t="n">
        <v>0</v>
      </c>
      <c r="L251" t="n">
        <v>0</v>
      </c>
      <c r="M251" t="n">
        <v>0</v>
      </c>
      <c r="N251" t="n">
        <v>0</v>
      </c>
      <c r="O251" t="n">
        <v>0</v>
      </c>
      <c r="P251" t="n">
        <v>0</v>
      </c>
      <c r="Q251" t="n">
        <v>0</v>
      </c>
      <c r="R251" s="2" t="inlineStr"/>
    </row>
    <row r="252" ht="15" customHeight="1">
      <c r="A252" t="inlineStr">
        <is>
          <t>A 50333-2023</t>
        </is>
      </c>
      <c r="B252" s="1" t="n">
        <v>45216</v>
      </c>
      <c r="C252" s="1" t="n">
        <v>45967</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42510-2025</t>
        </is>
      </c>
      <c r="B253" s="1" t="n">
        <v>45905.54068287037</v>
      </c>
      <c r="C253" s="1" t="n">
        <v>45967</v>
      </c>
      <c r="D253" t="inlineStr">
        <is>
          <t>DALARNAS LÄN</t>
        </is>
      </c>
      <c r="E253" t="inlineStr">
        <is>
          <t>HEDEMORA</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1917-2022</t>
        </is>
      </c>
      <c r="B254" s="1" t="n">
        <v>44574</v>
      </c>
      <c r="C254" s="1" t="n">
        <v>45967</v>
      </c>
      <c r="D254" t="inlineStr">
        <is>
          <t>DALARNAS LÄN</t>
        </is>
      </c>
      <c r="E254" t="inlineStr">
        <is>
          <t>HEDEMORA</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22270-2023</t>
        </is>
      </c>
      <c r="B255" s="1" t="n">
        <v>45070.39284722223</v>
      </c>
      <c r="C255" s="1" t="n">
        <v>45967</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53576-2023</t>
        </is>
      </c>
      <c r="B256" s="1" t="n">
        <v>45230.50288194444</v>
      </c>
      <c r="C256" s="1" t="n">
        <v>45967</v>
      </c>
      <c r="D256" t="inlineStr">
        <is>
          <t>DALARNAS LÄN</t>
        </is>
      </c>
      <c r="E256" t="inlineStr">
        <is>
          <t>HEDEMORA</t>
        </is>
      </c>
      <c r="G256" t="n">
        <v>0.9</v>
      </c>
      <c r="H256" t="n">
        <v>0</v>
      </c>
      <c r="I256" t="n">
        <v>0</v>
      </c>
      <c r="J256" t="n">
        <v>0</v>
      </c>
      <c r="K256" t="n">
        <v>0</v>
      </c>
      <c r="L256" t="n">
        <v>0</v>
      </c>
      <c r="M256" t="n">
        <v>0</v>
      </c>
      <c r="N256" t="n">
        <v>0</v>
      </c>
      <c r="O256" t="n">
        <v>0</v>
      </c>
      <c r="P256" t="n">
        <v>0</v>
      </c>
      <c r="Q256" t="n">
        <v>0</v>
      </c>
      <c r="R256" s="2" t="inlineStr"/>
    </row>
    <row r="257" ht="15" customHeight="1">
      <c r="A257" t="inlineStr">
        <is>
          <t>A 19990-2025</t>
        </is>
      </c>
      <c r="B257" s="1" t="n">
        <v>45771.73082175926</v>
      </c>
      <c r="C257" s="1" t="n">
        <v>45967</v>
      </c>
      <c r="D257" t="inlineStr">
        <is>
          <t>DALARNAS LÄN</t>
        </is>
      </c>
      <c r="E257" t="inlineStr">
        <is>
          <t>HEDEMORA</t>
        </is>
      </c>
      <c r="G257" t="n">
        <v>0.5</v>
      </c>
      <c r="H257" t="n">
        <v>0</v>
      </c>
      <c r="I257" t="n">
        <v>0</v>
      </c>
      <c r="J257" t="n">
        <v>0</v>
      </c>
      <c r="K257" t="n">
        <v>0</v>
      </c>
      <c r="L257" t="n">
        <v>0</v>
      </c>
      <c r="M257" t="n">
        <v>0</v>
      </c>
      <c r="N257" t="n">
        <v>0</v>
      </c>
      <c r="O257" t="n">
        <v>0</v>
      </c>
      <c r="P257" t="n">
        <v>0</v>
      </c>
      <c r="Q257" t="n">
        <v>0</v>
      </c>
      <c r="R257" s="2" t="inlineStr"/>
    </row>
    <row r="258" ht="15" customHeight="1">
      <c r="A258" t="inlineStr">
        <is>
          <t>A 27610-2024</t>
        </is>
      </c>
      <c r="B258" s="1" t="n">
        <v>45474.73221064815</v>
      </c>
      <c r="C258" s="1" t="n">
        <v>45967</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42645-2025</t>
        </is>
      </c>
      <c r="B259" s="1" t="n">
        <v>45906.40199074074</v>
      </c>
      <c r="C259" s="1" t="n">
        <v>45967</v>
      </c>
      <c r="D259" t="inlineStr">
        <is>
          <t>DALARNAS LÄN</t>
        </is>
      </c>
      <c r="E259" t="inlineStr">
        <is>
          <t>HEDEMORA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1973-2022</t>
        </is>
      </c>
      <c r="B260" s="1" t="n">
        <v>44575</v>
      </c>
      <c r="C260" s="1" t="n">
        <v>45967</v>
      </c>
      <c r="D260" t="inlineStr">
        <is>
          <t>DALARNAS LÄN</t>
        </is>
      </c>
      <c r="E260" t="inlineStr">
        <is>
          <t>HEDEMORA</t>
        </is>
      </c>
      <c r="G260" t="n">
        <v>1.2</v>
      </c>
      <c r="H260" t="n">
        <v>0</v>
      </c>
      <c r="I260" t="n">
        <v>0</v>
      </c>
      <c r="J260" t="n">
        <v>0</v>
      </c>
      <c r="K260" t="n">
        <v>0</v>
      </c>
      <c r="L260" t="n">
        <v>0</v>
      </c>
      <c r="M260" t="n">
        <v>0</v>
      </c>
      <c r="N260" t="n">
        <v>0</v>
      </c>
      <c r="O260" t="n">
        <v>0</v>
      </c>
      <c r="P260" t="n">
        <v>0</v>
      </c>
      <c r="Q260" t="n">
        <v>0</v>
      </c>
      <c r="R260" s="2" t="inlineStr"/>
    </row>
    <row r="261" ht="15" customHeight="1">
      <c r="A261" t="inlineStr">
        <is>
          <t>A 49636-2021</t>
        </is>
      </c>
      <c r="B261" s="1" t="n">
        <v>44455</v>
      </c>
      <c r="C261" s="1" t="n">
        <v>45967</v>
      </c>
      <c r="D261" t="inlineStr">
        <is>
          <t>DALARNAS LÄN</t>
        </is>
      </c>
      <c r="E261" t="inlineStr">
        <is>
          <t>HEDEMORA</t>
        </is>
      </c>
      <c r="G261" t="n">
        <v>1.3</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44450.84762731481</v>
      </c>
      <c r="C262" s="1" t="n">
        <v>45967</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51615-2025</t>
        </is>
      </c>
      <c r="B263" s="1" t="n">
        <v>45951.40246527778</v>
      </c>
      <c r="C263" s="1" t="n">
        <v>45967</v>
      </c>
      <c r="D263" t="inlineStr">
        <is>
          <t>DALARNAS LÄN</t>
        </is>
      </c>
      <c r="E263" t="inlineStr">
        <is>
          <t>HEDEMORA</t>
        </is>
      </c>
      <c r="G263" t="n">
        <v>1.8</v>
      </c>
      <c r="H263" t="n">
        <v>0</v>
      </c>
      <c r="I263" t="n">
        <v>0</v>
      </c>
      <c r="J263" t="n">
        <v>0</v>
      </c>
      <c r="K263" t="n">
        <v>0</v>
      </c>
      <c r="L263" t="n">
        <v>0</v>
      </c>
      <c r="M263" t="n">
        <v>0</v>
      </c>
      <c r="N263" t="n">
        <v>0</v>
      </c>
      <c r="O263" t="n">
        <v>0</v>
      </c>
      <c r="P263" t="n">
        <v>0</v>
      </c>
      <c r="Q263" t="n">
        <v>0</v>
      </c>
      <c r="R263" s="2" t="inlineStr"/>
    </row>
    <row r="264" ht="15" customHeight="1">
      <c r="A264" t="inlineStr">
        <is>
          <t>A 25195-2024</t>
        </is>
      </c>
      <c r="B264" s="1" t="n">
        <v>45462</v>
      </c>
      <c r="C264" s="1" t="n">
        <v>45967</v>
      </c>
      <c r="D264" t="inlineStr">
        <is>
          <t>DALARNAS LÄN</t>
        </is>
      </c>
      <c r="E264" t="inlineStr">
        <is>
          <t>HEDEMORA</t>
        </is>
      </c>
      <c r="F264" t="inlineStr">
        <is>
          <t>Övriga statliga verk och myndigheter</t>
        </is>
      </c>
      <c r="G264" t="n">
        <v>3.3</v>
      </c>
      <c r="H264" t="n">
        <v>0</v>
      </c>
      <c r="I264" t="n">
        <v>0</v>
      </c>
      <c r="J264" t="n">
        <v>0</v>
      </c>
      <c r="K264" t="n">
        <v>0</v>
      </c>
      <c r="L264" t="n">
        <v>0</v>
      </c>
      <c r="M264" t="n">
        <v>0</v>
      </c>
      <c r="N264" t="n">
        <v>0</v>
      </c>
      <c r="O264" t="n">
        <v>0</v>
      </c>
      <c r="P264" t="n">
        <v>0</v>
      </c>
      <c r="Q264" t="n">
        <v>0</v>
      </c>
      <c r="R264" s="2" t="inlineStr"/>
    </row>
    <row r="265" ht="15" customHeight="1">
      <c r="A265" t="inlineStr">
        <is>
          <t>A 51695-2025</t>
        </is>
      </c>
      <c r="B265" s="1" t="n">
        <v>45951.54824074074</v>
      </c>
      <c r="C265" s="1" t="n">
        <v>45967</v>
      </c>
      <c r="D265" t="inlineStr">
        <is>
          <t>DALARNAS LÄN</t>
        </is>
      </c>
      <c r="E265" t="inlineStr">
        <is>
          <t>HEDEMORA</t>
        </is>
      </c>
      <c r="G265" t="n">
        <v>2.1</v>
      </c>
      <c r="H265" t="n">
        <v>0</v>
      </c>
      <c r="I265" t="n">
        <v>0</v>
      </c>
      <c r="J265" t="n">
        <v>0</v>
      </c>
      <c r="K265" t="n">
        <v>0</v>
      </c>
      <c r="L265" t="n">
        <v>0</v>
      </c>
      <c r="M265" t="n">
        <v>0</v>
      </c>
      <c r="N265" t="n">
        <v>0</v>
      </c>
      <c r="O265" t="n">
        <v>0</v>
      </c>
      <c r="P265" t="n">
        <v>0</v>
      </c>
      <c r="Q265" t="n">
        <v>0</v>
      </c>
      <c r="R265" s="2" t="inlineStr"/>
    </row>
    <row r="266" ht="15" customHeight="1">
      <c r="A266" t="inlineStr">
        <is>
          <t>A 60475-2022</t>
        </is>
      </c>
      <c r="B266" s="1" t="n">
        <v>44911.41222222222</v>
      </c>
      <c r="C266" s="1" t="n">
        <v>45967</v>
      </c>
      <c r="D266" t="inlineStr">
        <is>
          <t>DALARNAS LÄN</t>
        </is>
      </c>
      <c r="E266" t="inlineStr">
        <is>
          <t>HEDEMORA</t>
        </is>
      </c>
      <c r="G266" t="n">
        <v>1</v>
      </c>
      <c r="H266" t="n">
        <v>0</v>
      </c>
      <c r="I266" t="n">
        <v>0</v>
      </c>
      <c r="J266" t="n">
        <v>0</v>
      </c>
      <c r="K266" t="n">
        <v>0</v>
      </c>
      <c r="L266" t="n">
        <v>0</v>
      </c>
      <c r="M266" t="n">
        <v>0</v>
      </c>
      <c r="N266" t="n">
        <v>0</v>
      </c>
      <c r="O266" t="n">
        <v>0</v>
      </c>
      <c r="P266" t="n">
        <v>0</v>
      </c>
      <c r="Q266" t="n">
        <v>0</v>
      </c>
      <c r="R266" s="2" t="inlineStr"/>
    </row>
    <row r="267" ht="15" customHeight="1">
      <c r="A267" t="inlineStr">
        <is>
          <t>A 30205-2022</t>
        </is>
      </c>
      <c r="B267" s="1" t="n">
        <v>44757.74415509259</v>
      </c>
      <c r="C267" s="1" t="n">
        <v>45967</v>
      </c>
      <c r="D267" t="inlineStr">
        <is>
          <t>DALARNAS LÄN</t>
        </is>
      </c>
      <c r="E267" t="inlineStr">
        <is>
          <t>HEDEMORA</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68553-2021</t>
        </is>
      </c>
      <c r="B268" s="1" t="n">
        <v>44529</v>
      </c>
      <c r="C268" s="1" t="n">
        <v>45967</v>
      </c>
      <c r="D268" t="inlineStr">
        <is>
          <t>DALARNAS LÄN</t>
        </is>
      </c>
      <c r="E268" t="inlineStr">
        <is>
          <t>HEDEMORA</t>
        </is>
      </c>
      <c r="G268" t="n">
        <v>3</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44472.54035879629</v>
      </c>
      <c r="C269" s="1" t="n">
        <v>45967</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17600-2025</t>
        </is>
      </c>
      <c r="B270" s="1" t="n">
        <v>45757.71063657408</v>
      </c>
      <c r="C270" s="1" t="n">
        <v>45967</v>
      </c>
      <c r="D270" t="inlineStr">
        <is>
          <t>DALARNAS LÄN</t>
        </is>
      </c>
      <c r="E270" t="inlineStr">
        <is>
          <t>HEDEMORA</t>
        </is>
      </c>
      <c r="G270" t="n">
        <v>1.4</v>
      </c>
      <c r="H270" t="n">
        <v>0</v>
      </c>
      <c r="I270" t="n">
        <v>0</v>
      </c>
      <c r="J270" t="n">
        <v>0</v>
      </c>
      <c r="K270" t="n">
        <v>0</v>
      </c>
      <c r="L270" t="n">
        <v>0</v>
      </c>
      <c r="M270" t="n">
        <v>0</v>
      </c>
      <c r="N270" t="n">
        <v>0</v>
      </c>
      <c r="O270" t="n">
        <v>0</v>
      </c>
      <c r="P270" t="n">
        <v>0</v>
      </c>
      <c r="Q270" t="n">
        <v>0</v>
      </c>
      <c r="R270" s="2" t="inlineStr"/>
    </row>
    <row r="271" ht="15" customHeight="1">
      <c r="A271" t="inlineStr">
        <is>
          <t>A 29123-2021</t>
        </is>
      </c>
      <c r="B271" s="1" t="n">
        <v>44358</v>
      </c>
      <c r="C271" s="1" t="n">
        <v>45967</v>
      </c>
      <c r="D271" t="inlineStr">
        <is>
          <t>DALARNAS LÄN</t>
        </is>
      </c>
      <c r="E271" t="inlineStr">
        <is>
          <t>HEDEMORA</t>
        </is>
      </c>
      <c r="G271" t="n">
        <v>5.6</v>
      </c>
      <c r="H271" t="n">
        <v>0</v>
      </c>
      <c r="I271" t="n">
        <v>0</v>
      </c>
      <c r="J271" t="n">
        <v>0</v>
      </c>
      <c r="K271" t="n">
        <v>0</v>
      </c>
      <c r="L271" t="n">
        <v>0</v>
      </c>
      <c r="M271" t="n">
        <v>0</v>
      </c>
      <c r="N271" t="n">
        <v>0</v>
      </c>
      <c r="O271" t="n">
        <v>0</v>
      </c>
      <c r="P271" t="n">
        <v>0</v>
      </c>
      <c r="Q271" t="n">
        <v>0</v>
      </c>
      <c r="R271" s="2" t="inlineStr"/>
    </row>
    <row r="272" ht="15" customHeight="1">
      <c r="A272" t="inlineStr">
        <is>
          <t>A 43193-2025</t>
        </is>
      </c>
      <c r="B272" s="1" t="n">
        <v>45910.42417824074</v>
      </c>
      <c r="C272" s="1" t="n">
        <v>45967</v>
      </c>
      <c r="D272" t="inlineStr">
        <is>
          <t>DALARNAS LÄN</t>
        </is>
      </c>
      <c r="E272" t="inlineStr">
        <is>
          <t>HEDEMORA</t>
        </is>
      </c>
      <c r="G272" t="n">
        <v>3.9</v>
      </c>
      <c r="H272" t="n">
        <v>0</v>
      </c>
      <c r="I272" t="n">
        <v>0</v>
      </c>
      <c r="J272" t="n">
        <v>0</v>
      </c>
      <c r="K272" t="n">
        <v>0</v>
      </c>
      <c r="L272" t="n">
        <v>0</v>
      </c>
      <c r="M272" t="n">
        <v>0</v>
      </c>
      <c r="N272" t="n">
        <v>0</v>
      </c>
      <c r="O272" t="n">
        <v>0</v>
      </c>
      <c r="P272" t="n">
        <v>0</v>
      </c>
      <c r="Q272" t="n">
        <v>0</v>
      </c>
      <c r="R272" s="2" t="inlineStr"/>
    </row>
    <row r="273" ht="15" customHeight="1">
      <c r="A273" t="inlineStr">
        <is>
          <t>A 28029-2023</t>
        </is>
      </c>
      <c r="B273" s="1" t="n">
        <v>45099</v>
      </c>
      <c r="C273" s="1" t="n">
        <v>45967</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26449-2024</t>
        </is>
      </c>
      <c r="B274" s="1" t="n">
        <v>45469.50783564815</v>
      </c>
      <c r="C274" s="1" t="n">
        <v>45967</v>
      </c>
      <c r="D274" t="inlineStr">
        <is>
          <t>DALARNAS LÄN</t>
        </is>
      </c>
      <c r="E274" t="inlineStr">
        <is>
          <t>HEDEMORA</t>
        </is>
      </c>
      <c r="G274" t="n">
        <v>4.5</v>
      </c>
      <c r="H274" t="n">
        <v>0</v>
      </c>
      <c r="I274" t="n">
        <v>0</v>
      </c>
      <c r="J274" t="n">
        <v>0</v>
      </c>
      <c r="K274" t="n">
        <v>0</v>
      </c>
      <c r="L274" t="n">
        <v>0</v>
      </c>
      <c r="M274" t="n">
        <v>0</v>
      </c>
      <c r="N274" t="n">
        <v>0</v>
      </c>
      <c r="O274" t="n">
        <v>0</v>
      </c>
      <c r="P274" t="n">
        <v>0</v>
      </c>
      <c r="Q274" t="n">
        <v>0</v>
      </c>
      <c r="R274" s="2" t="inlineStr"/>
    </row>
    <row r="275" ht="15" customHeight="1">
      <c r="A275" t="inlineStr">
        <is>
          <t>A 52328-2025</t>
        </is>
      </c>
      <c r="B275" s="1" t="n">
        <v>45953.67157407408</v>
      </c>
      <c r="C275" s="1" t="n">
        <v>45967</v>
      </c>
      <c r="D275" t="inlineStr">
        <is>
          <t>DALARNAS LÄN</t>
        </is>
      </c>
      <c r="E275" t="inlineStr">
        <is>
          <t>HEDEMORA</t>
        </is>
      </c>
      <c r="F275" t="inlineStr">
        <is>
          <t>Sveaskog</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25155-2023</t>
        </is>
      </c>
      <c r="B276" s="1" t="n">
        <v>45086</v>
      </c>
      <c r="C276" s="1" t="n">
        <v>45967</v>
      </c>
      <c r="D276" t="inlineStr">
        <is>
          <t>DALARNAS LÄN</t>
        </is>
      </c>
      <c r="E276" t="inlineStr">
        <is>
          <t>HEDEMORA</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44960-2021</t>
        </is>
      </c>
      <c r="B277" s="1" t="n">
        <v>44438.72253472222</v>
      </c>
      <c r="C277" s="1" t="n">
        <v>45967</v>
      </c>
      <c r="D277" t="inlineStr">
        <is>
          <t>DALARNAS LÄN</t>
        </is>
      </c>
      <c r="E277" t="inlineStr">
        <is>
          <t>HEDEMORA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52325-2025</t>
        </is>
      </c>
      <c r="B278" s="1" t="n">
        <v>45953.67032407408</v>
      </c>
      <c r="C278" s="1" t="n">
        <v>45967</v>
      </c>
      <c r="D278" t="inlineStr">
        <is>
          <t>DALARNAS LÄN</t>
        </is>
      </c>
      <c r="E278" t="inlineStr">
        <is>
          <t>HEDEMORA</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59471-2020</t>
        </is>
      </c>
      <c r="B279" s="1" t="n">
        <v>44148</v>
      </c>
      <c r="C279" s="1" t="n">
        <v>45967</v>
      </c>
      <c r="D279" t="inlineStr">
        <is>
          <t>DALARNAS LÄN</t>
        </is>
      </c>
      <c r="E279" t="inlineStr">
        <is>
          <t>HEDEMORA</t>
        </is>
      </c>
      <c r="G279" t="n">
        <v>1.2</v>
      </c>
      <c r="H279" t="n">
        <v>0</v>
      </c>
      <c r="I279" t="n">
        <v>0</v>
      </c>
      <c r="J279" t="n">
        <v>0</v>
      </c>
      <c r="K279" t="n">
        <v>0</v>
      </c>
      <c r="L279" t="n">
        <v>0</v>
      </c>
      <c r="M279" t="n">
        <v>0</v>
      </c>
      <c r="N279" t="n">
        <v>0</v>
      </c>
      <c r="O279" t="n">
        <v>0</v>
      </c>
      <c r="P279" t="n">
        <v>0</v>
      </c>
      <c r="Q279" t="n">
        <v>0</v>
      </c>
      <c r="R279" s="2" t="inlineStr"/>
    </row>
    <row r="280" ht="15" customHeight="1">
      <c r="A280" t="inlineStr">
        <is>
          <t>A 25150-2023</t>
        </is>
      </c>
      <c r="B280" s="1" t="n">
        <v>45086</v>
      </c>
      <c r="C280" s="1" t="n">
        <v>45967</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41523-2023</t>
        </is>
      </c>
      <c r="B281" s="1" t="n">
        <v>45172</v>
      </c>
      <c r="C281" s="1" t="n">
        <v>45967</v>
      </c>
      <c r="D281" t="inlineStr">
        <is>
          <t>DALARNAS LÄN</t>
        </is>
      </c>
      <c r="E281" t="inlineStr">
        <is>
          <t>HEDEMORA</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58018-2022</t>
        </is>
      </c>
      <c r="B282" s="1" t="n">
        <v>44900.53383101852</v>
      </c>
      <c r="C282" s="1" t="n">
        <v>45967</v>
      </c>
      <c r="D282" t="inlineStr">
        <is>
          <t>DALARNAS LÄN</t>
        </is>
      </c>
      <c r="E282" t="inlineStr">
        <is>
          <t>HEDEMORA</t>
        </is>
      </c>
      <c r="G282" t="n">
        <v>3.6</v>
      </c>
      <c r="H282" t="n">
        <v>0</v>
      </c>
      <c r="I282" t="n">
        <v>0</v>
      </c>
      <c r="J282" t="n">
        <v>0</v>
      </c>
      <c r="K282" t="n">
        <v>0</v>
      </c>
      <c r="L282" t="n">
        <v>0</v>
      </c>
      <c r="M282" t="n">
        <v>0</v>
      </c>
      <c r="N282" t="n">
        <v>0</v>
      </c>
      <c r="O282" t="n">
        <v>0</v>
      </c>
      <c r="P282" t="n">
        <v>0</v>
      </c>
      <c r="Q282" t="n">
        <v>0</v>
      </c>
      <c r="R282" s="2" t="inlineStr"/>
    </row>
    <row r="283" ht="15" customHeight="1">
      <c r="A283" t="inlineStr">
        <is>
          <t>A 25021-2025</t>
        </is>
      </c>
      <c r="B283" s="1" t="n">
        <v>45799.64574074074</v>
      </c>
      <c r="C283" s="1" t="n">
        <v>45967</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29050-2023</t>
        </is>
      </c>
      <c r="B284" s="1" t="n">
        <v>45104</v>
      </c>
      <c r="C284" s="1" t="n">
        <v>45967</v>
      </c>
      <c r="D284" t="inlineStr">
        <is>
          <t>DALARNAS LÄN</t>
        </is>
      </c>
      <c r="E284" t="inlineStr">
        <is>
          <t>HEDEMORA</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63929-2023</t>
        </is>
      </c>
      <c r="B285" s="1" t="n">
        <v>45278.60274305556</v>
      </c>
      <c r="C285" s="1" t="n">
        <v>45967</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19397-2024</t>
        </is>
      </c>
      <c r="B286" s="1" t="n">
        <v>45429.38474537037</v>
      </c>
      <c r="C286" s="1" t="n">
        <v>45967</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61883-2022</t>
        </is>
      </c>
      <c r="B287" s="1" t="n">
        <v>44917.67262731482</v>
      </c>
      <c r="C287" s="1" t="n">
        <v>45967</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37449-2024</t>
        </is>
      </c>
      <c r="B288" s="1" t="n">
        <v>45540</v>
      </c>
      <c r="C288" s="1" t="n">
        <v>45967</v>
      </c>
      <c r="D288" t="inlineStr">
        <is>
          <t>DALARNAS LÄN</t>
        </is>
      </c>
      <c r="E288" t="inlineStr">
        <is>
          <t>HEDEMORA</t>
        </is>
      </c>
      <c r="F288" t="inlineStr">
        <is>
          <t>Bergvik skog väst AB</t>
        </is>
      </c>
      <c r="G288" t="n">
        <v>10.1</v>
      </c>
      <c r="H288" t="n">
        <v>0</v>
      </c>
      <c r="I288" t="n">
        <v>0</v>
      </c>
      <c r="J288" t="n">
        <v>0</v>
      </c>
      <c r="K288" t="n">
        <v>0</v>
      </c>
      <c r="L288" t="n">
        <v>0</v>
      </c>
      <c r="M288" t="n">
        <v>0</v>
      </c>
      <c r="N288" t="n">
        <v>0</v>
      </c>
      <c r="O288" t="n">
        <v>0</v>
      </c>
      <c r="P288" t="n">
        <v>0</v>
      </c>
      <c r="Q288" t="n">
        <v>0</v>
      </c>
      <c r="R288" s="2" t="inlineStr"/>
    </row>
    <row r="289" ht="15" customHeight="1">
      <c r="A289" t="inlineStr">
        <is>
          <t>A 26204-2025</t>
        </is>
      </c>
      <c r="B289" s="1" t="n">
        <v>45805.51065972223</v>
      </c>
      <c r="C289" s="1" t="n">
        <v>45967</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29301-2023</t>
        </is>
      </c>
      <c r="B290" s="1" t="n">
        <v>45105</v>
      </c>
      <c r="C290" s="1" t="n">
        <v>45967</v>
      </c>
      <c r="D290" t="inlineStr">
        <is>
          <t>DALARNAS LÄN</t>
        </is>
      </c>
      <c r="E290" t="inlineStr">
        <is>
          <t>HEDEMORA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52853-2025</t>
        </is>
      </c>
      <c r="B291" s="1" t="n">
        <v>45957.49408564815</v>
      </c>
      <c r="C291" s="1" t="n">
        <v>45967</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30939-2023</t>
        </is>
      </c>
      <c r="B292" s="1" t="n">
        <v>45113.45597222223</v>
      </c>
      <c r="C292" s="1" t="n">
        <v>45967</v>
      </c>
      <c r="D292" t="inlineStr">
        <is>
          <t>DALARNAS LÄN</t>
        </is>
      </c>
      <c r="E292" t="inlineStr">
        <is>
          <t>HEDEMORA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6972-2025</t>
        </is>
      </c>
      <c r="B293" s="1" t="n">
        <v>45701.53790509259</v>
      </c>
      <c r="C293" s="1" t="n">
        <v>45967</v>
      </c>
      <c r="D293" t="inlineStr">
        <is>
          <t>DALARNAS LÄN</t>
        </is>
      </c>
      <c r="E293" t="inlineStr">
        <is>
          <t>HEDEMORA</t>
        </is>
      </c>
      <c r="G293" t="n">
        <v>4.9</v>
      </c>
      <c r="H293" t="n">
        <v>0</v>
      </c>
      <c r="I293" t="n">
        <v>0</v>
      </c>
      <c r="J293" t="n">
        <v>0</v>
      </c>
      <c r="K293" t="n">
        <v>0</v>
      </c>
      <c r="L293" t="n">
        <v>0</v>
      </c>
      <c r="M293" t="n">
        <v>0</v>
      </c>
      <c r="N293" t="n">
        <v>0</v>
      </c>
      <c r="O293" t="n">
        <v>0</v>
      </c>
      <c r="P293" t="n">
        <v>0</v>
      </c>
      <c r="Q293" t="n">
        <v>0</v>
      </c>
      <c r="R293" s="2" t="inlineStr"/>
    </row>
    <row r="294" ht="15" customHeight="1">
      <c r="A294" t="inlineStr">
        <is>
          <t>A 7172-2025</t>
        </is>
      </c>
      <c r="B294" s="1" t="n">
        <v>45702.41383101852</v>
      </c>
      <c r="C294" s="1" t="n">
        <v>45967</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60078-2022</t>
        </is>
      </c>
      <c r="B295" s="1" t="n">
        <v>44909.58811342593</v>
      </c>
      <c r="C295" s="1" t="n">
        <v>45967</v>
      </c>
      <c r="D295" t="inlineStr">
        <is>
          <t>DALARNAS LÄN</t>
        </is>
      </c>
      <c r="E295" t="inlineStr">
        <is>
          <t>HEDEMORA</t>
        </is>
      </c>
      <c r="G295" t="n">
        <v>0.5</v>
      </c>
      <c r="H295" t="n">
        <v>0</v>
      </c>
      <c r="I295" t="n">
        <v>0</v>
      </c>
      <c r="J295" t="n">
        <v>0</v>
      </c>
      <c r="K295" t="n">
        <v>0</v>
      </c>
      <c r="L295" t="n">
        <v>0</v>
      </c>
      <c r="M295" t="n">
        <v>0</v>
      </c>
      <c r="N295" t="n">
        <v>0</v>
      </c>
      <c r="O295" t="n">
        <v>0</v>
      </c>
      <c r="P295" t="n">
        <v>0</v>
      </c>
      <c r="Q295" t="n">
        <v>0</v>
      </c>
      <c r="R295" s="2" t="inlineStr"/>
    </row>
    <row r="296" ht="15" customHeight="1">
      <c r="A296" t="inlineStr">
        <is>
          <t>A 42894-2024</t>
        </is>
      </c>
      <c r="B296" s="1" t="n">
        <v>45566.82304398148</v>
      </c>
      <c r="C296" s="1" t="n">
        <v>45967</v>
      </c>
      <c r="D296" t="inlineStr">
        <is>
          <t>DALARNAS LÄN</t>
        </is>
      </c>
      <c r="E296" t="inlineStr">
        <is>
          <t>HEDEMORA</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42895-2024</t>
        </is>
      </c>
      <c r="B297" s="1" t="n">
        <v>45566.82385416667</v>
      </c>
      <c r="C297" s="1" t="n">
        <v>45967</v>
      </c>
      <c r="D297" t="inlineStr">
        <is>
          <t>DALARNAS LÄN</t>
        </is>
      </c>
      <c r="E297" t="inlineStr">
        <is>
          <t>HEDEMORA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53568-2023</t>
        </is>
      </c>
      <c r="B298" s="1" t="n">
        <v>45230.49392361111</v>
      </c>
      <c r="C298" s="1" t="n">
        <v>45967</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7914-2024</t>
        </is>
      </c>
      <c r="B299" s="1" t="n">
        <v>45350.46003472222</v>
      </c>
      <c r="C299" s="1" t="n">
        <v>45967</v>
      </c>
      <c r="D299" t="inlineStr">
        <is>
          <t>DALARNAS LÄN</t>
        </is>
      </c>
      <c r="E299" t="inlineStr">
        <is>
          <t>HEDEMORA</t>
        </is>
      </c>
      <c r="G299" t="n">
        <v>4.1</v>
      </c>
      <c r="H299" t="n">
        <v>0</v>
      </c>
      <c r="I299" t="n">
        <v>0</v>
      </c>
      <c r="J299" t="n">
        <v>0</v>
      </c>
      <c r="K299" t="n">
        <v>0</v>
      </c>
      <c r="L299" t="n">
        <v>0</v>
      </c>
      <c r="M299" t="n">
        <v>0</v>
      </c>
      <c r="N299" t="n">
        <v>0</v>
      </c>
      <c r="O299" t="n">
        <v>0</v>
      </c>
      <c r="P299" t="n">
        <v>0</v>
      </c>
      <c r="Q299" t="n">
        <v>0</v>
      </c>
      <c r="R299" s="2" t="inlineStr"/>
    </row>
    <row r="300" ht="15" customHeight="1">
      <c r="A300" t="inlineStr">
        <is>
          <t>A 61533-2021</t>
        </is>
      </c>
      <c r="B300" s="1" t="n">
        <v>44501</v>
      </c>
      <c r="C300" s="1" t="n">
        <v>45967</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29303-2023</t>
        </is>
      </c>
      <c r="B301" s="1" t="n">
        <v>45105</v>
      </c>
      <c r="C301" s="1" t="n">
        <v>45967</v>
      </c>
      <c r="D301" t="inlineStr">
        <is>
          <t>DALARNAS LÄN</t>
        </is>
      </c>
      <c r="E301" t="inlineStr">
        <is>
          <t>HEDEMORA</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49904-2021</t>
        </is>
      </c>
      <c r="B302" s="1" t="n">
        <v>44455.77041666667</v>
      </c>
      <c r="C302" s="1" t="n">
        <v>45967</v>
      </c>
      <c r="D302" t="inlineStr">
        <is>
          <t>DALARNAS LÄN</t>
        </is>
      </c>
      <c r="E302" t="inlineStr">
        <is>
          <t>HEDEMORA</t>
        </is>
      </c>
      <c r="F302" t="inlineStr">
        <is>
          <t>Sveaskog</t>
        </is>
      </c>
      <c r="G302" t="n">
        <v>7.1</v>
      </c>
      <c r="H302" t="n">
        <v>0</v>
      </c>
      <c r="I302" t="n">
        <v>0</v>
      </c>
      <c r="J302" t="n">
        <v>0</v>
      </c>
      <c r="K302" t="n">
        <v>0</v>
      </c>
      <c r="L302" t="n">
        <v>0</v>
      </c>
      <c r="M302" t="n">
        <v>0</v>
      </c>
      <c r="N302" t="n">
        <v>0</v>
      </c>
      <c r="O302" t="n">
        <v>0</v>
      </c>
      <c r="P302" t="n">
        <v>0</v>
      </c>
      <c r="Q302" t="n">
        <v>0</v>
      </c>
      <c r="R302" s="2" t="inlineStr"/>
    </row>
    <row r="303" ht="15" customHeight="1">
      <c r="A303" t="inlineStr">
        <is>
          <t>A 53044-2025</t>
        </is>
      </c>
      <c r="B303" s="1" t="n">
        <v>45958.35663194444</v>
      </c>
      <c r="C303" s="1" t="n">
        <v>45967</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52759-2025</t>
        </is>
      </c>
      <c r="B304" s="1" t="n">
        <v>45957.39364583333</v>
      </c>
      <c r="C304" s="1" t="n">
        <v>45967</v>
      </c>
      <c r="D304" t="inlineStr">
        <is>
          <t>DALARNAS LÄN</t>
        </is>
      </c>
      <c r="E304" t="inlineStr">
        <is>
          <t>HEDEMORA</t>
        </is>
      </c>
      <c r="G304" t="n">
        <v>0.8</v>
      </c>
      <c r="H304" t="n">
        <v>0</v>
      </c>
      <c r="I304" t="n">
        <v>0</v>
      </c>
      <c r="J304" t="n">
        <v>0</v>
      </c>
      <c r="K304" t="n">
        <v>0</v>
      </c>
      <c r="L304" t="n">
        <v>0</v>
      </c>
      <c r="M304" t="n">
        <v>0</v>
      </c>
      <c r="N304" t="n">
        <v>0</v>
      </c>
      <c r="O304" t="n">
        <v>0</v>
      </c>
      <c r="P304" t="n">
        <v>0</v>
      </c>
      <c r="Q304" t="n">
        <v>0</v>
      </c>
      <c r="R304" s="2" t="inlineStr"/>
    </row>
    <row r="305" ht="15" customHeight="1">
      <c r="A305" t="inlineStr">
        <is>
          <t>A 9314-2024</t>
        </is>
      </c>
      <c r="B305" s="1" t="n">
        <v>45358</v>
      </c>
      <c r="C305" s="1" t="n">
        <v>45967</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43621-2024</t>
        </is>
      </c>
      <c r="B306" s="1" t="n">
        <v>45569.48200231481</v>
      </c>
      <c r="C306" s="1" t="n">
        <v>45967</v>
      </c>
      <c r="D306" t="inlineStr">
        <is>
          <t>DALARNAS LÄN</t>
        </is>
      </c>
      <c r="E306" t="inlineStr">
        <is>
          <t>HEDEMORA</t>
        </is>
      </c>
      <c r="G306" t="n">
        <v>2.4</v>
      </c>
      <c r="H306" t="n">
        <v>0</v>
      </c>
      <c r="I306" t="n">
        <v>0</v>
      </c>
      <c r="J306" t="n">
        <v>0</v>
      </c>
      <c r="K306" t="n">
        <v>0</v>
      </c>
      <c r="L306" t="n">
        <v>0</v>
      </c>
      <c r="M306" t="n">
        <v>0</v>
      </c>
      <c r="N306" t="n">
        <v>0</v>
      </c>
      <c r="O306" t="n">
        <v>0</v>
      </c>
      <c r="P306" t="n">
        <v>0</v>
      </c>
      <c r="Q306" t="n">
        <v>0</v>
      </c>
      <c r="R306" s="2" t="inlineStr"/>
    </row>
    <row r="307" ht="15" customHeight="1">
      <c r="A307" t="inlineStr">
        <is>
          <t>A 53040-2025</t>
        </is>
      </c>
      <c r="B307" s="1" t="n">
        <v>45958.35328703704</v>
      </c>
      <c r="C307" s="1" t="n">
        <v>45967</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53042-2025</t>
        </is>
      </c>
      <c r="B308" s="1" t="n">
        <v>45958.35527777778</v>
      </c>
      <c r="C308" s="1" t="n">
        <v>45967</v>
      </c>
      <c r="D308" t="inlineStr">
        <is>
          <t>DALARNAS LÄN</t>
        </is>
      </c>
      <c r="E308" t="inlineStr">
        <is>
          <t>HEDEMORA</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73099-2021</t>
        </is>
      </c>
      <c r="B309" s="1" t="n">
        <v>44546</v>
      </c>
      <c r="C309" s="1" t="n">
        <v>45967</v>
      </c>
      <c r="D309" t="inlineStr">
        <is>
          <t>DALARNAS LÄN</t>
        </is>
      </c>
      <c r="E309" t="inlineStr">
        <is>
          <t>HEDEMORA</t>
        </is>
      </c>
      <c r="G309" t="n">
        <v>4.5</v>
      </c>
      <c r="H309" t="n">
        <v>0</v>
      </c>
      <c r="I309" t="n">
        <v>0</v>
      </c>
      <c r="J309" t="n">
        <v>0</v>
      </c>
      <c r="K309" t="n">
        <v>0</v>
      </c>
      <c r="L309" t="n">
        <v>0</v>
      </c>
      <c r="M309" t="n">
        <v>0</v>
      </c>
      <c r="N309" t="n">
        <v>0</v>
      </c>
      <c r="O309" t="n">
        <v>0</v>
      </c>
      <c r="P309" t="n">
        <v>0</v>
      </c>
      <c r="Q309" t="n">
        <v>0</v>
      </c>
      <c r="R309" s="2" t="inlineStr"/>
    </row>
    <row r="310" ht="15" customHeight="1">
      <c r="A310" t="inlineStr">
        <is>
          <t>A 52714-2025</t>
        </is>
      </c>
      <c r="B310" s="1" t="n">
        <v>45953</v>
      </c>
      <c r="C310" s="1" t="n">
        <v>45967</v>
      </c>
      <c r="D310" t="inlineStr">
        <is>
          <t>DALARNAS LÄN</t>
        </is>
      </c>
      <c r="E310" t="inlineStr">
        <is>
          <t>HEDEMORA</t>
        </is>
      </c>
      <c r="F310" t="inlineStr">
        <is>
          <t>Bergvik skog väst AB</t>
        </is>
      </c>
      <c r="G310" t="n">
        <v>14.7</v>
      </c>
      <c r="H310" t="n">
        <v>0</v>
      </c>
      <c r="I310" t="n">
        <v>0</v>
      </c>
      <c r="J310" t="n">
        <v>0</v>
      </c>
      <c r="K310" t="n">
        <v>0</v>
      </c>
      <c r="L310" t="n">
        <v>0</v>
      </c>
      <c r="M310" t="n">
        <v>0</v>
      </c>
      <c r="N310" t="n">
        <v>0</v>
      </c>
      <c r="O310" t="n">
        <v>0</v>
      </c>
      <c r="P310" t="n">
        <v>0</v>
      </c>
      <c r="Q310" t="n">
        <v>0</v>
      </c>
      <c r="R310" s="2" t="inlineStr"/>
    </row>
    <row r="311" ht="15" customHeight="1">
      <c r="A311" t="inlineStr">
        <is>
          <t>A 46217-2023</t>
        </is>
      </c>
      <c r="B311" s="1" t="n">
        <v>45190</v>
      </c>
      <c r="C311" s="1" t="n">
        <v>45967</v>
      </c>
      <c r="D311" t="inlineStr">
        <is>
          <t>DALARNAS LÄN</t>
        </is>
      </c>
      <c r="E311" t="inlineStr">
        <is>
          <t>HEDEMORA</t>
        </is>
      </c>
      <c r="F311" t="inlineStr">
        <is>
          <t>Bergvik skog väst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45967</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50885-2023</t>
        </is>
      </c>
      <c r="B313" s="1" t="n">
        <v>45218.38459490741</v>
      </c>
      <c r="C313" s="1" t="n">
        <v>45967</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65057-2023</t>
        </is>
      </c>
      <c r="B314" s="1" t="n">
        <v>45287</v>
      </c>
      <c r="C314" s="1" t="n">
        <v>45967</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5766-2025</t>
        </is>
      </c>
      <c r="B315" s="1" t="n">
        <v>45694.57893518519</v>
      </c>
      <c r="C315" s="1" t="n">
        <v>45967</v>
      </c>
      <c r="D315" t="inlineStr">
        <is>
          <t>DALARNAS LÄN</t>
        </is>
      </c>
      <c r="E315" t="inlineStr">
        <is>
          <t>HEDEMORA</t>
        </is>
      </c>
      <c r="G315" t="n">
        <v>4.9</v>
      </c>
      <c r="H315" t="n">
        <v>0</v>
      </c>
      <c r="I315" t="n">
        <v>0</v>
      </c>
      <c r="J315" t="n">
        <v>0</v>
      </c>
      <c r="K315" t="n">
        <v>0</v>
      </c>
      <c r="L315" t="n">
        <v>0</v>
      </c>
      <c r="M315" t="n">
        <v>0</v>
      </c>
      <c r="N315" t="n">
        <v>0</v>
      </c>
      <c r="O315" t="n">
        <v>0</v>
      </c>
      <c r="P315" t="n">
        <v>0</v>
      </c>
      <c r="Q315" t="n">
        <v>0</v>
      </c>
      <c r="R315" s="2" t="inlineStr"/>
    </row>
    <row r="316" ht="15" customHeight="1">
      <c r="A316" t="inlineStr">
        <is>
          <t>A 11046-2022</t>
        </is>
      </c>
      <c r="B316" s="1" t="n">
        <v>44628</v>
      </c>
      <c r="C316" s="1" t="n">
        <v>45967</v>
      </c>
      <c r="D316" t="inlineStr">
        <is>
          <t>DALARNAS LÄN</t>
        </is>
      </c>
      <c r="E316" t="inlineStr">
        <is>
          <t>HEDEMORA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44850-2025</t>
        </is>
      </c>
      <c r="B317" s="1" t="n">
        <v>45918.44587962963</v>
      </c>
      <c r="C317" s="1" t="n">
        <v>45967</v>
      </c>
      <c r="D317" t="inlineStr">
        <is>
          <t>DALARNAS LÄN</t>
        </is>
      </c>
      <c r="E317" t="inlineStr">
        <is>
          <t>HEDEMORA</t>
        </is>
      </c>
      <c r="G317" t="n">
        <v>3.9</v>
      </c>
      <c r="H317" t="n">
        <v>0</v>
      </c>
      <c r="I317" t="n">
        <v>0</v>
      </c>
      <c r="J317" t="n">
        <v>0</v>
      </c>
      <c r="K317" t="n">
        <v>0</v>
      </c>
      <c r="L317" t="n">
        <v>0</v>
      </c>
      <c r="M317" t="n">
        <v>0</v>
      </c>
      <c r="N317" t="n">
        <v>0</v>
      </c>
      <c r="O317" t="n">
        <v>0</v>
      </c>
      <c r="P317" t="n">
        <v>0</v>
      </c>
      <c r="Q317" t="n">
        <v>0</v>
      </c>
      <c r="R317" s="2" t="inlineStr"/>
    </row>
    <row r="318" ht="15" customHeight="1">
      <c r="A318" t="inlineStr">
        <is>
          <t>A 52316-2025</t>
        </is>
      </c>
      <c r="B318" s="1" t="n">
        <v>45953.65537037037</v>
      </c>
      <c r="C318" s="1" t="n">
        <v>45967</v>
      </c>
      <c r="D318" t="inlineStr">
        <is>
          <t>DALARNAS LÄN</t>
        </is>
      </c>
      <c r="E318" t="inlineStr">
        <is>
          <t>HEDEMORA</t>
        </is>
      </c>
      <c r="F318" t="inlineStr">
        <is>
          <t>Sveaskog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38947-2023</t>
        </is>
      </c>
      <c r="B319" s="1" t="n">
        <v>45163.61209490741</v>
      </c>
      <c r="C319" s="1" t="n">
        <v>45967</v>
      </c>
      <c r="D319" t="inlineStr">
        <is>
          <t>DALARNAS LÄN</t>
        </is>
      </c>
      <c r="E319" t="inlineStr">
        <is>
          <t>HEDEMORA</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38951-2023</t>
        </is>
      </c>
      <c r="B320" s="1" t="n">
        <v>45163.61413194444</v>
      </c>
      <c r="C320" s="1" t="n">
        <v>45967</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53551-2025</t>
        </is>
      </c>
      <c r="B321" s="1" t="n">
        <v>45960.3875</v>
      </c>
      <c r="C321" s="1" t="n">
        <v>45967</v>
      </c>
      <c r="D321" t="inlineStr">
        <is>
          <t>DALARNAS LÄN</t>
        </is>
      </c>
      <c r="E321" t="inlineStr">
        <is>
          <t>HEDEMORA</t>
        </is>
      </c>
      <c r="G321" t="n">
        <v>6.2</v>
      </c>
      <c r="H321" t="n">
        <v>0</v>
      </c>
      <c r="I321" t="n">
        <v>0</v>
      </c>
      <c r="J321" t="n">
        <v>0</v>
      </c>
      <c r="K321" t="n">
        <v>0</v>
      </c>
      <c r="L321" t="n">
        <v>0</v>
      </c>
      <c r="M321" t="n">
        <v>0</v>
      </c>
      <c r="N321" t="n">
        <v>0</v>
      </c>
      <c r="O321" t="n">
        <v>0</v>
      </c>
      <c r="P321" t="n">
        <v>0</v>
      </c>
      <c r="Q321" t="n">
        <v>0</v>
      </c>
      <c r="R321" s="2" t="inlineStr"/>
    </row>
    <row r="322" ht="15" customHeight="1">
      <c r="A322" t="inlineStr">
        <is>
          <t>A 26705-2025</t>
        </is>
      </c>
      <c r="B322" s="1" t="n">
        <v>45810.45325231482</v>
      </c>
      <c r="C322" s="1" t="n">
        <v>45967</v>
      </c>
      <c r="D322" t="inlineStr">
        <is>
          <t>DALARNAS LÄN</t>
        </is>
      </c>
      <c r="E322" t="inlineStr">
        <is>
          <t>HEDEMORA</t>
        </is>
      </c>
      <c r="G322" t="n">
        <v>1.9</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45967</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58111-2020</t>
        </is>
      </c>
      <c r="B324" s="1" t="n">
        <v>44144</v>
      </c>
      <c r="C324" s="1" t="n">
        <v>45967</v>
      </c>
      <c r="D324" t="inlineStr">
        <is>
          <t>DALARNAS LÄN</t>
        </is>
      </c>
      <c r="E324" t="inlineStr">
        <is>
          <t>HEDEMORA</t>
        </is>
      </c>
      <c r="G324" t="n">
        <v>3.1</v>
      </c>
      <c r="H324" t="n">
        <v>0</v>
      </c>
      <c r="I324" t="n">
        <v>0</v>
      </c>
      <c r="J324" t="n">
        <v>0</v>
      </c>
      <c r="K324" t="n">
        <v>0</v>
      </c>
      <c r="L324" t="n">
        <v>0</v>
      </c>
      <c r="M324" t="n">
        <v>0</v>
      </c>
      <c r="N324" t="n">
        <v>0</v>
      </c>
      <c r="O324" t="n">
        <v>0</v>
      </c>
      <c r="P324" t="n">
        <v>0</v>
      </c>
      <c r="Q324" t="n">
        <v>0</v>
      </c>
      <c r="R324" s="2" t="inlineStr"/>
    </row>
    <row r="325" ht="15" customHeight="1">
      <c r="A325" t="inlineStr">
        <is>
          <t>A 45097-2025</t>
        </is>
      </c>
      <c r="B325" s="1" t="n">
        <v>45919.38918981481</v>
      </c>
      <c r="C325" s="1" t="n">
        <v>45967</v>
      </c>
      <c r="D325" t="inlineStr">
        <is>
          <t>DALARNAS LÄN</t>
        </is>
      </c>
      <c r="E325" t="inlineStr">
        <is>
          <t>HEDEMORA</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45290-2025</t>
        </is>
      </c>
      <c r="B326" s="1" t="n">
        <v>45920.37158564815</v>
      </c>
      <c r="C326" s="1" t="n">
        <v>45967</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54040-2025</t>
        </is>
      </c>
      <c r="B327" s="1" t="n">
        <v>45963.74130787037</v>
      </c>
      <c r="C327" s="1" t="n">
        <v>45967</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53820-2025</t>
        </is>
      </c>
      <c r="B328" s="1" t="n">
        <v>45961.32736111111</v>
      </c>
      <c r="C328" s="1" t="n">
        <v>45967</v>
      </c>
      <c r="D328" t="inlineStr">
        <is>
          <t>DALARNAS LÄN</t>
        </is>
      </c>
      <c r="E328" t="inlineStr">
        <is>
          <t>HEDEMORA</t>
        </is>
      </c>
      <c r="G328" t="n">
        <v>10</v>
      </c>
      <c r="H328" t="n">
        <v>0</v>
      </c>
      <c r="I328" t="n">
        <v>0</v>
      </c>
      <c r="J328" t="n">
        <v>0</v>
      </c>
      <c r="K328" t="n">
        <v>0</v>
      </c>
      <c r="L328" t="n">
        <v>0</v>
      </c>
      <c r="M328" t="n">
        <v>0</v>
      </c>
      <c r="N328" t="n">
        <v>0</v>
      </c>
      <c r="O328" t="n">
        <v>0</v>
      </c>
      <c r="P328" t="n">
        <v>0</v>
      </c>
      <c r="Q328" t="n">
        <v>0</v>
      </c>
      <c r="R328" s="2" t="inlineStr"/>
    </row>
    <row r="329" ht="15" customHeight="1">
      <c r="A329" t="inlineStr">
        <is>
          <t>A 61849-2022</t>
        </is>
      </c>
      <c r="B329" s="1" t="n">
        <v>44917</v>
      </c>
      <c r="C329" s="1" t="n">
        <v>45967</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53584-2023</t>
        </is>
      </c>
      <c r="B330" s="1" t="n">
        <v>45230</v>
      </c>
      <c r="C330" s="1" t="n">
        <v>45967</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50566-2025</t>
        </is>
      </c>
      <c r="B331" s="1" t="n">
        <v>45945</v>
      </c>
      <c r="C331" s="1" t="n">
        <v>45967</v>
      </c>
      <c r="D331" t="inlineStr">
        <is>
          <t>DALARNAS LÄN</t>
        </is>
      </c>
      <c r="E331" t="inlineStr">
        <is>
          <t>HEDEMORA</t>
        </is>
      </c>
      <c r="G331" t="n">
        <v>1.4</v>
      </c>
      <c r="H331" t="n">
        <v>0</v>
      </c>
      <c r="I331" t="n">
        <v>0</v>
      </c>
      <c r="J331" t="n">
        <v>0</v>
      </c>
      <c r="K331" t="n">
        <v>0</v>
      </c>
      <c r="L331" t="n">
        <v>0</v>
      </c>
      <c r="M331" t="n">
        <v>0</v>
      </c>
      <c r="N331" t="n">
        <v>0</v>
      </c>
      <c r="O331" t="n">
        <v>0</v>
      </c>
      <c r="P331" t="n">
        <v>0</v>
      </c>
      <c r="Q331" t="n">
        <v>0</v>
      </c>
      <c r="R331" s="2" t="inlineStr"/>
    </row>
    <row r="332" ht="15" customHeight="1">
      <c r="A332" t="inlineStr">
        <is>
          <t>A 54829-2025</t>
        </is>
      </c>
      <c r="B332" s="1" t="n">
        <v>45966.67506944444</v>
      </c>
      <c r="C332" s="1" t="n">
        <v>45967</v>
      </c>
      <c r="D332" t="inlineStr">
        <is>
          <t>DALARNAS LÄN</t>
        </is>
      </c>
      <c r="E332" t="inlineStr">
        <is>
          <t>HEDEMORA</t>
        </is>
      </c>
      <c r="G332" t="n">
        <v>2.2</v>
      </c>
      <c r="H332" t="n">
        <v>0</v>
      </c>
      <c r="I332" t="n">
        <v>0</v>
      </c>
      <c r="J332" t="n">
        <v>0</v>
      </c>
      <c r="K332" t="n">
        <v>0</v>
      </c>
      <c r="L332" t="n">
        <v>0</v>
      </c>
      <c r="M332" t="n">
        <v>0</v>
      </c>
      <c r="N332" t="n">
        <v>0</v>
      </c>
      <c r="O332" t="n">
        <v>0</v>
      </c>
      <c r="P332" t="n">
        <v>0</v>
      </c>
      <c r="Q332" t="n">
        <v>0</v>
      </c>
      <c r="R332" s="2" t="inlineStr"/>
    </row>
    <row r="333" ht="15" customHeight="1">
      <c r="A333" t="inlineStr">
        <is>
          <t>A 54830-2025</t>
        </is>
      </c>
      <c r="B333" s="1" t="n">
        <v>45966.67681712963</v>
      </c>
      <c r="C333" s="1" t="n">
        <v>45967</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45936-2025</t>
        </is>
      </c>
      <c r="B334" s="1" t="n">
        <v>45924.26582175926</v>
      </c>
      <c r="C334" s="1" t="n">
        <v>45967</v>
      </c>
      <c r="D334" t="inlineStr">
        <is>
          <t>DALARNAS LÄN</t>
        </is>
      </c>
      <c r="E334" t="inlineStr">
        <is>
          <t>HEDEMORA</t>
        </is>
      </c>
      <c r="G334" t="n">
        <v>4.7</v>
      </c>
      <c r="H334" t="n">
        <v>0</v>
      </c>
      <c r="I334" t="n">
        <v>0</v>
      </c>
      <c r="J334" t="n">
        <v>0</v>
      </c>
      <c r="K334" t="n">
        <v>0</v>
      </c>
      <c r="L334" t="n">
        <v>0</v>
      </c>
      <c r="M334" t="n">
        <v>0</v>
      </c>
      <c r="N334" t="n">
        <v>0</v>
      </c>
      <c r="O334" t="n">
        <v>0</v>
      </c>
      <c r="P334" t="n">
        <v>0</v>
      </c>
      <c r="Q334" t="n">
        <v>0</v>
      </c>
      <c r="R334" s="2" t="inlineStr"/>
    </row>
    <row r="335" ht="15" customHeight="1">
      <c r="A335" t="inlineStr">
        <is>
          <t>A 45938-2025</t>
        </is>
      </c>
      <c r="B335" s="1" t="n">
        <v>45924.27704861111</v>
      </c>
      <c r="C335" s="1" t="n">
        <v>45967</v>
      </c>
      <c r="D335" t="inlineStr">
        <is>
          <t>DALARNAS LÄN</t>
        </is>
      </c>
      <c r="E335" t="inlineStr">
        <is>
          <t>HEDEMORA</t>
        </is>
      </c>
      <c r="G335" t="n">
        <v>1.9</v>
      </c>
      <c r="H335" t="n">
        <v>0</v>
      </c>
      <c r="I335" t="n">
        <v>0</v>
      </c>
      <c r="J335" t="n">
        <v>0</v>
      </c>
      <c r="K335" t="n">
        <v>0</v>
      </c>
      <c r="L335" t="n">
        <v>0</v>
      </c>
      <c r="M335" t="n">
        <v>0</v>
      </c>
      <c r="N335" t="n">
        <v>0</v>
      </c>
      <c r="O335" t="n">
        <v>0</v>
      </c>
      <c r="P335" t="n">
        <v>0</v>
      </c>
      <c r="Q335" t="n">
        <v>0</v>
      </c>
      <c r="R335" s="2" t="inlineStr"/>
    </row>
    <row r="336" ht="15" customHeight="1">
      <c r="A336" t="inlineStr">
        <is>
          <t>A 28180-2025</t>
        </is>
      </c>
      <c r="B336" s="1" t="n">
        <v>45818.39755787037</v>
      </c>
      <c r="C336" s="1" t="n">
        <v>45967</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28182-2025</t>
        </is>
      </c>
      <c r="B337" s="1" t="n">
        <v>45818.40069444444</v>
      </c>
      <c r="C337" s="1" t="n">
        <v>45967</v>
      </c>
      <c r="D337" t="inlineStr">
        <is>
          <t>DALARNAS LÄN</t>
        </is>
      </c>
      <c r="E337" t="inlineStr">
        <is>
          <t>HEDEMORA</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45983-2025</t>
        </is>
      </c>
      <c r="B338" s="1" t="n">
        <v>45924.37988425926</v>
      </c>
      <c r="C338" s="1" t="n">
        <v>45967</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45937-2025</t>
        </is>
      </c>
      <c r="B339" s="1" t="n">
        <v>45924.27231481481</v>
      </c>
      <c r="C339" s="1" t="n">
        <v>45967</v>
      </c>
      <c r="D339" t="inlineStr">
        <is>
          <t>DALARNAS LÄN</t>
        </is>
      </c>
      <c r="E339" t="inlineStr">
        <is>
          <t>HEDEMORA</t>
        </is>
      </c>
      <c r="G339" t="n">
        <v>3.9</v>
      </c>
      <c r="H339" t="n">
        <v>0</v>
      </c>
      <c r="I339" t="n">
        <v>0</v>
      </c>
      <c r="J339" t="n">
        <v>0</v>
      </c>
      <c r="K339" t="n">
        <v>0</v>
      </c>
      <c r="L339" t="n">
        <v>0</v>
      </c>
      <c r="M339" t="n">
        <v>0</v>
      </c>
      <c r="N339" t="n">
        <v>0</v>
      </c>
      <c r="O339" t="n">
        <v>0</v>
      </c>
      <c r="P339" t="n">
        <v>0</v>
      </c>
      <c r="Q339" t="n">
        <v>0</v>
      </c>
      <c r="R339" s="2" t="inlineStr"/>
    </row>
    <row r="340" ht="15" customHeight="1">
      <c r="A340" t="inlineStr">
        <is>
          <t>A 20272-2025</t>
        </is>
      </c>
      <c r="B340" s="1" t="n">
        <v>45773.71663194444</v>
      </c>
      <c r="C340" s="1" t="n">
        <v>45967</v>
      </c>
      <c r="D340" t="inlineStr">
        <is>
          <t>DALARNAS LÄN</t>
        </is>
      </c>
      <c r="E340" t="inlineStr">
        <is>
          <t>HEDEMORA</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18579-2025</t>
        </is>
      </c>
      <c r="B341" s="1" t="n">
        <v>45763</v>
      </c>
      <c r="C341" s="1" t="n">
        <v>45967</v>
      </c>
      <c r="D341" t="inlineStr">
        <is>
          <t>DALARNAS LÄN</t>
        </is>
      </c>
      <c r="E341" t="inlineStr">
        <is>
          <t>HEDEMORA</t>
        </is>
      </c>
      <c r="G341" t="n">
        <v>0.5</v>
      </c>
      <c r="H341" t="n">
        <v>0</v>
      </c>
      <c r="I341" t="n">
        <v>0</v>
      </c>
      <c r="J341" t="n">
        <v>0</v>
      </c>
      <c r="K341" t="n">
        <v>0</v>
      </c>
      <c r="L341" t="n">
        <v>0</v>
      </c>
      <c r="M341" t="n">
        <v>0</v>
      </c>
      <c r="N341" t="n">
        <v>0</v>
      </c>
      <c r="O341" t="n">
        <v>0</v>
      </c>
      <c r="P341" t="n">
        <v>0</v>
      </c>
      <c r="Q341" t="n">
        <v>0</v>
      </c>
      <c r="R341" s="2" t="inlineStr"/>
    </row>
    <row r="342" ht="15" customHeight="1">
      <c r="A342" t="inlineStr">
        <is>
          <t>A 28183-2025</t>
        </is>
      </c>
      <c r="B342" s="1" t="n">
        <v>45818.4021875</v>
      </c>
      <c r="C342" s="1" t="n">
        <v>45967</v>
      </c>
      <c r="D342" t="inlineStr">
        <is>
          <t>DALARNAS LÄN</t>
        </is>
      </c>
      <c r="E342" t="inlineStr">
        <is>
          <t>HEDEMORA</t>
        </is>
      </c>
      <c r="F342" t="inlineStr">
        <is>
          <t>Sveaskog</t>
        </is>
      </c>
      <c r="G342" t="n">
        <v>2.7</v>
      </c>
      <c r="H342" t="n">
        <v>0</v>
      </c>
      <c r="I342" t="n">
        <v>0</v>
      </c>
      <c r="J342" t="n">
        <v>0</v>
      </c>
      <c r="K342" t="n">
        <v>0</v>
      </c>
      <c r="L342" t="n">
        <v>0</v>
      </c>
      <c r="M342" t="n">
        <v>0</v>
      </c>
      <c r="N342" t="n">
        <v>0</v>
      </c>
      <c r="O342" t="n">
        <v>0</v>
      </c>
      <c r="P342" t="n">
        <v>0</v>
      </c>
      <c r="Q342" t="n">
        <v>0</v>
      </c>
      <c r="R342" s="2" t="inlineStr"/>
    </row>
    <row r="343" ht="15" customHeight="1">
      <c r="A343" t="inlineStr">
        <is>
          <t>A 46825-2024</t>
        </is>
      </c>
      <c r="B343" s="1" t="n">
        <v>45583.58040509259</v>
      </c>
      <c r="C343" s="1" t="n">
        <v>45967</v>
      </c>
      <c r="D343" t="inlineStr">
        <is>
          <t>DALARNAS LÄN</t>
        </is>
      </c>
      <c r="E343" t="inlineStr">
        <is>
          <t>HEDEMORA</t>
        </is>
      </c>
      <c r="G343" t="n">
        <v>1.1</v>
      </c>
      <c r="H343" t="n">
        <v>0</v>
      </c>
      <c r="I343" t="n">
        <v>0</v>
      </c>
      <c r="J343" t="n">
        <v>0</v>
      </c>
      <c r="K343" t="n">
        <v>0</v>
      </c>
      <c r="L343" t="n">
        <v>0</v>
      </c>
      <c r="M343" t="n">
        <v>0</v>
      </c>
      <c r="N343" t="n">
        <v>0</v>
      </c>
      <c r="O343" t="n">
        <v>0</v>
      </c>
      <c r="P343" t="n">
        <v>0</v>
      </c>
      <c r="Q343" t="n">
        <v>0</v>
      </c>
      <c r="R343" s="2" t="inlineStr"/>
    </row>
    <row r="344" ht="15" customHeight="1">
      <c r="A344" t="inlineStr">
        <is>
          <t>A 52942-2024</t>
        </is>
      </c>
      <c r="B344" s="1" t="n">
        <v>45610.8215625</v>
      </c>
      <c r="C344" s="1" t="n">
        <v>45967</v>
      </c>
      <c r="D344" t="inlineStr">
        <is>
          <t>DALARNAS LÄN</t>
        </is>
      </c>
      <c r="E344" t="inlineStr">
        <is>
          <t>HEDEMORA</t>
        </is>
      </c>
      <c r="F344" t="inlineStr">
        <is>
          <t>Sveaskog</t>
        </is>
      </c>
      <c r="G344" t="n">
        <v>14.5</v>
      </c>
      <c r="H344" t="n">
        <v>0</v>
      </c>
      <c r="I344" t="n">
        <v>0</v>
      </c>
      <c r="J344" t="n">
        <v>0</v>
      </c>
      <c r="K344" t="n">
        <v>0</v>
      </c>
      <c r="L344" t="n">
        <v>0</v>
      </c>
      <c r="M344" t="n">
        <v>0</v>
      </c>
      <c r="N344" t="n">
        <v>0</v>
      </c>
      <c r="O344" t="n">
        <v>0</v>
      </c>
      <c r="P344" t="n">
        <v>0</v>
      </c>
      <c r="Q344" t="n">
        <v>0</v>
      </c>
      <c r="R344" s="2" t="inlineStr"/>
    </row>
    <row r="345" ht="15" customHeight="1">
      <c r="A345" t="inlineStr">
        <is>
          <t>A 26612-2021</t>
        </is>
      </c>
      <c r="B345" s="1" t="n">
        <v>44348.64942129629</v>
      </c>
      <c r="C345" s="1" t="n">
        <v>45967</v>
      </c>
      <c r="D345" t="inlineStr">
        <is>
          <t>DALARNAS LÄN</t>
        </is>
      </c>
      <c r="E345" t="inlineStr">
        <is>
          <t>HEDEMORA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22273-2023</t>
        </is>
      </c>
      <c r="B346" s="1" t="n">
        <v>45070</v>
      </c>
      <c r="C346" s="1" t="n">
        <v>45967</v>
      </c>
      <c r="D346" t="inlineStr">
        <is>
          <t>DALARNAS LÄN</t>
        </is>
      </c>
      <c r="E346" t="inlineStr">
        <is>
          <t>HEDEMORA</t>
        </is>
      </c>
      <c r="G346" t="n">
        <v>1.3</v>
      </c>
      <c r="H346" t="n">
        <v>0</v>
      </c>
      <c r="I346" t="n">
        <v>0</v>
      </c>
      <c r="J346" t="n">
        <v>0</v>
      </c>
      <c r="K346" t="n">
        <v>0</v>
      </c>
      <c r="L346" t="n">
        <v>0</v>
      </c>
      <c r="M346" t="n">
        <v>0</v>
      </c>
      <c r="N346" t="n">
        <v>0</v>
      </c>
      <c r="O346" t="n">
        <v>0</v>
      </c>
      <c r="P346" t="n">
        <v>0</v>
      </c>
      <c r="Q346" t="n">
        <v>0</v>
      </c>
      <c r="R346" s="2" t="inlineStr"/>
    </row>
    <row r="347" ht="15" customHeight="1">
      <c r="A347" t="inlineStr">
        <is>
          <t>A 29690-2025</t>
        </is>
      </c>
      <c r="B347" s="1" t="n">
        <v>45825.53508101852</v>
      </c>
      <c r="C347" s="1" t="n">
        <v>45967</v>
      </c>
      <c r="D347" t="inlineStr">
        <is>
          <t>DALARNAS LÄN</t>
        </is>
      </c>
      <c r="E347" t="inlineStr">
        <is>
          <t>HEDEMORA</t>
        </is>
      </c>
      <c r="G347" t="n">
        <v>4.1</v>
      </c>
      <c r="H347" t="n">
        <v>0</v>
      </c>
      <c r="I347" t="n">
        <v>0</v>
      </c>
      <c r="J347" t="n">
        <v>0</v>
      </c>
      <c r="K347" t="n">
        <v>0</v>
      </c>
      <c r="L347" t="n">
        <v>0</v>
      </c>
      <c r="M347" t="n">
        <v>0</v>
      </c>
      <c r="N347" t="n">
        <v>0</v>
      </c>
      <c r="O347" t="n">
        <v>0</v>
      </c>
      <c r="P347" t="n">
        <v>0</v>
      </c>
      <c r="Q347" t="n">
        <v>0</v>
      </c>
      <c r="R347" s="2" t="inlineStr"/>
    </row>
    <row r="348" ht="15" customHeight="1">
      <c r="A348" t="inlineStr">
        <is>
          <t>A 30471-2025</t>
        </is>
      </c>
      <c r="B348" s="1" t="n">
        <v>45827.94552083333</v>
      </c>
      <c r="C348" s="1" t="n">
        <v>45967</v>
      </c>
      <c r="D348" t="inlineStr">
        <is>
          <t>DALARNAS LÄN</t>
        </is>
      </c>
      <c r="E348" t="inlineStr">
        <is>
          <t>HEDEMORA</t>
        </is>
      </c>
      <c r="G348" t="n">
        <v>0.3</v>
      </c>
      <c r="H348" t="n">
        <v>0</v>
      </c>
      <c r="I348" t="n">
        <v>0</v>
      </c>
      <c r="J348" t="n">
        <v>0</v>
      </c>
      <c r="K348" t="n">
        <v>0</v>
      </c>
      <c r="L348" t="n">
        <v>0</v>
      </c>
      <c r="M348" t="n">
        <v>0</v>
      </c>
      <c r="N348" t="n">
        <v>0</v>
      </c>
      <c r="O348" t="n">
        <v>0</v>
      </c>
      <c r="P348" t="n">
        <v>0</v>
      </c>
      <c r="Q348" t="n">
        <v>0</v>
      </c>
      <c r="R348" s="2" t="inlineStr"/>
    </row>
    <row r="349" ht="15" customHeight="1">
      <c r="A349" t="inlineStr">
        <is>
          <t>A 30472-2025</t>
        </is>
      </c>
      <c r="B349" s="1" t="n">
        <v>45827.94671296296</v>
      </c>
      <c r="C349" s="1" t="n">
        <v>45967</v>
      </c>
      <c r="D349" t="inlineStr">
        <is>
          <t>DALARNAS LÄN</t>
        </is>
      </c>
      <c r="E349" t="inlineStr">
        <is>
          <t>HEDEMORA</t>
        </is>
      </c>
      <c r="G349" t="n">
        <v>1.1</v>
      </c>
      <c r="H349" t="n">
        <v>0</v>
      </c>
      <c r="I349" t="n">
        <v>0</v>
      </c>
      <c r="J349" t="n">
        <v>0</v>
      </c>
      <c r="K349" t="n">
        <v>0</v>
      </c>
      <c r="L349" t="n">
        <v>0</v>
      </c>
      <c r="M349" t="n">
        <v>0</v>
      </c>
      <c r="N349" t="n">
        <v>0</v>
      </c>
      <c r="O349" t="n">
        <v>0</v>
      </c>
      <c r="P349" t="n">
        <v>0</v>
      </c>
      <c r="Q349" t="n">
        <v>0</v>
      </c>
      <c r="R349" s="2" t="inlineStr"/>
    </row>
    <row r="350" ht="15" customHeight="1">
      <c r="A350" t="inlineStr">
        <is>
          <t>A 30582-2025</t>
        </is>
      </c>
      <c r="B350" s="1" t="n">
        <v>45831.42349537037</v>
      </c>
      <c r="C350" s="1" t="n">
        <v>45967</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24427-2022</t>
        </is>
      </c>
      <c r="B351" s="1" t="n">
        <v>44726</v>
      </c>
      <c r="C351" s="1" t="n">
        <v>45967</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40801-2024</t>
        </is>
      </c>
      <c r="B352" s="1" t="n">
        <v>45558.52905092593</v>
      </c>
      <c r="C352" s="1" t="n">
        <v>45967</v>
      </c>
      <c r="D352" t="inlineStr">
        <is>
          <t>DALARNAS LÄN</t>
        </is>
      </c>
      <c r="E352" t="inlineStr">
        <is>
          <t>HEDEMORA</t>
        </is>
      </c>
      <c r="G352" t="n">
        <v>2.2</v>
      </c>
      <c r="H352" t="n">
        <v>0</v>
      </c>
      <c r="I352" t="n">
        <v>0</v>
      </c>
      <c r="J352" t="n">
        <v>0</v>
      </c>
      <c r="K352" t="n">
        <v>0</v>
      </c>
      <c r="L352" t="n">
        <v>0</v>
      </c>
      <c r="M352" t="n">
        <v>0</v>
      </c>
      <c r="N352" t="n">
        <v>0</v>
      </c>
      <c r="O352" t="n">
        <v>0</v>
      </c>
      <c r="P352" t="n">
        <v>0</v>
      </c>
      <c r="Q352" t="n">
        <v>0</v>
      </c>
      <c r="R352" s="2" t="inlineStr"/>
    </row>
    <row r="353" ht="15" customHeight="1">
      <c r="A353" t="inlineStr">
        <is>
          <t>A 29591-2024</t>
        </is>
      </c>
      <c r="B353" s="1" t="n">
        <v>45484.58222222222</v>
      </c>
      <c r="C353" s="1" t="n">
        <v>45967</v>
      </c>
      <c r="D353" t="inlineStr">
        <is>
          <t>DALARNAS LÄN</t>
        </is>
      </c>
      <c r="E353" t="inlineStr">
        <is>
          <t>HEDEMORA</t>
        </is>
      </c>
      <c r="F353" t="inlineStr">
        <is>
          <t>Bergvik skog väst AB</t>
        </is>
      </c>
      <c r="G353" t="n">
        <v>3</v>
      </c>
      <c r="H353" t="n">
        <v>0</v>
      </c>
      <c r="I353" t="n">
        <v>0</v>
      </c>
      <c r="J353" t="n">
        <v>0</v>
      </c>
      <c r="K353" t="n">
        <v>0</v>
      </c>
      <c r="L353" t="n">
        <v>0</v>
      </c>
      <c r="M353" t="n">
        <v>0</v>
      </c>
      <c r="N353" t="n">
        <v>0</v>
      </c>
      <c r="O353" t="n">
        <v>0</v>
      </c>
      <c r="P353" t="n">
        <v>0</v>
      </c>
      <c r="Q353" t="n">
        <v>0</v>
      </c>
      <c r="R353" s="2" t="inlineStr"/>
    </row>
    <row r="354" ht="15" customHeight="1">
      <c r="A354" t="inlineStr">
        <is>
          <t>A 53588-2023</t>
        </is>
      </c>
      <c r="B354" s="1" t="n">
        <v>45230.53109953704</v>
      </c>
      <c r="C354" s="1" t="n">
        <v>45967</v>
      </c>
      <c r="D354" t="inlineStr">
        <is>
          <t>DALARNAS LÄN</t>
        </is>
      </c>
      <c r="E354" t="inlineStr">
        <is>
          <t>HEDEMORA</t>
        </is>
      </c>
      <c r="G354" t="n">
        <v>0.6</v>
      </c>
      <c r="H354" t="n">
        <v>0</v>
      </c>
      <c r="I354" t="n">
        <v>0</v>
      </c>
      <c r="J354" t="n">
        <v>0</v>
      </c>
      <c r="K354" t="n">
        <v>0</v>
      </c>
      <c r="L354" t="n">
        <v>0</v>
      </c>
      <c r="M354" t="n">
        <v>0</v>
      </c>
      <c r="N354" t="n">
        <v>0</v>
      </c>
      <c r="O354" t="n">
        <v>0</v>
      </c>
      <c r="P354" t="n">
        <v>0</v>
      </c>
      <c r="Q354" t="n">
        <v>0</v>
      </c>
      <c r="R354" s="2" t="inlineStr"/>
    </row>
    <row r="355" ht="15" customHeight="1">
      <c r="A355" t="inlineStr">
        <is>
          <t>A 32865-2025</t>
        </is>
      </c>
      <c r="B355" s="1" t="n">
        <v>45839.58767361111</v>
      </c>
      <c r="C355" s="1" t="n">
        <v>45967</v>
      </c>
      <c r="D355" t="inlineStr">
        <is>
          <t>DALARNAS LÄN</t>
        </is>
      </c>
      <c r="E355" t="inlineStr">
        <is>
          <t>HEDEMORA</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33288-2025</t>
        </is>
      </c>
      <c r="B356" s="1" t="n">
        <v>45840</v>
      </c>
      <c r="C356" s="1" t="n">
        <v>45967</v>
      </c>
      <c r="D356" t="inlineStr">
        <is>
          <t>DALARNAS LÄN</t>
        </is>
      </c>
      <c r="E356" t="inlineStr">
        <is>
          <t>HEDEMORA</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32869-2025</t>
        </is>
      </c>
      <c r="B357" s="1" t="n">
        <v>45839.58927083333</v>
      </c>
      <c r="C357" s="1" t="n">
        <v>45967</v>
      </c>
      <c r="D357" t="inlineStr">
        <is>
          <t>DALARNAS LÄN</t>
        </is>
      </c>
      <c r="E357" t="inlineStr">
        <is>
          <t>HEDEMORA</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33009-2025</t>
        </is>
      </c>
      <c r="B358" s="1" t="n">
        <v>45840</v>
      </c>
      <c r="C358" s="1" t="n">
        <v>45967</v>
      </c>
      <c r="D358" t="inlineStr">
        <is>
          <t>DALARNAS LÄN</t>
        </is>
      </c>
      <c r="E358" t="inlineStr">
        <is>
          <t>HEDEMORA</t>
        </is>
      </c>
      <c r="F358" t="inlineStr">
        <is>
          <t>Kyrkan</t>
        </is>
      </c>
      <c r="G358" t="n">
        <v>7.6</v>
      </c>
      <c r="H358" t="n">
        <v>0</v>
      </c>
      <c r="I358" t="n">
        <v>0</v>
      </c>
      <c r="J358" t="n">
        <v>0</v>
      </c>
      <c r="K358" t="n">
        <v>0</v>
      </c>
      <c r="L358" t="n">
        <v>0</v>
      </c>
      <c r="M358" t="n">
        <v>0</v>
      </c>
      <c r="N358" t="n">
        <v>0</v>
      </c>
      <c r="O358" t="n">
        <v>0</v>
      </c>
      <c r="P358" t="n">
        <v>0</v>
      </c>
      <c r="Q358" t="n">
        <v>0</v>
      </c>
      <c r="R358" s="2" t="inlineStr"/>
    </row>
    <row r="359" ht="15" customHeight="1">
      <c r="A359" t="inlineStr">
        <is>
          <t>A 33286-2025</t>
        </is>
      </c>
      <c r="B359" s="1" t="n">
        <v>45840.81065972222</v>
      </c>
      <c r="C359" s="1" t="n">
        <v>45967</v>
      </c>
      <c r="D359" t="inlineStr">
        <is>
          <t>DALARNAS LÄN</t>
        </is>
      </c>
      <c r="E359" t="inlineStr">
        <is>
          <t>HEDEMORA</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33287-2025</t>
        </is>
      </c>
      <c r="B360" s="1" t="n">
        <v>45840.81216435185</v>
      </c>
      <c r="C360" s="1" t="n">
        <v>45967</v>
      </c>
      <c r="D360" t="inlineStr">
        <is>
          <t>DALARNAS LÄN</t>
        </is>
      </c>
      <c r="E360" t="inlineStr">
        <is>
          <t>HEDEMORA</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60808-2024</t>
        </is>
      </c>
      <c r="B361" s="1" t="n">
        <v>45644.61251157407</v>
      </c>
      <c r="C361" s="1" t="n">
        <v>45967</v>
      </c>
      <c r="D361" t="inlineStr">
        <is>
          <t>DALARNAS LÄN</t>
        </is>
      </c>
      <c r="E361" t="inlineStr">
        <is>
          <t>HEDEMORA</t>
        </is>
      </c>
      <c r="G361" t="n">
        <v>6</v>
      </c>
      <c r="H361" t="n">
        <v>0</v>
      </c>
      <c r="I361" t="n">
        <v>0</v>
      </c>
      <c r="J361" t="n">
        <v>0</v>
      </c>
      <c r="K361" t="n">
        <v>0</v>
      </c>
      <c r="L361" t="n">
        <v>0</v>
      </c>
      <c r="M361" t="n">
        <v>0</v>
      </c>
      <c r="N361" t="n">
        <v>0</v>
      </c>
      <c r="O361" t="n">
        <v>0</v>
      </c>
      <c r="P361" t="n">
        <v>0</v>
      </c>
      <c r="Q361" t="n">
        <v>0</v>
      </c>
      <c r="R361" s="2" t="inlineStr"/>
    </row>
    <row r="362" ht="15" customHeight="1">
      <c r="A362" t="inlineStr">
        <is>
          <t>A 55832-2024</t>
        </is>
      </c>
      <c r="B362" s="1" t="n">
        <v>45623.48604166666</v>
      </c>
      <c r="C362" s="1" t="n">
        <v>45967</v>
      </c>
      <c r="D362" t="inlineStr">
        <is>
          <t>DALARNAS LÄN</t>
        </is>
      </c>
      <c r="E362" t="inlineStr">
        <is>
          <t>HEDEMORA</t>
        </is>
      </c>
      <c r="G362" t="n">
        <v>3</v>
      </c>
      <c r="H362" t="n">
        <v>0</v>
      </c>
      <c r="I362" t="n">
        <v>0</v>
      </c>
      <c r="J362" t="n">
        <v>0</v>
      </c>
      <c r="K362" t="n">
        <v>0</v>
      </c>
      <c r="L362" t="n">
        <v>0</v>
      </c>
      <c r="M362" t="n">
        <v>0</v>
      </c>
      <c r="N362" t="n">
        <v>0</v>
      </c>
      <c r="O362" t="n">
        <v>0</v>
      </c>
      <c r="P362" t="n">
        <v>0</v>
      </c>
      <c r="Q362" t="n">
        <v>0</v>
      </c>
      <c r="R362" s="2" t="inlineStr"/>
    </row>
    <row r="363" ht="15" customHeight="1">
      <c r="A363" t="inlineStr">
        <is>
          <t>A 34734-2025</t>
        </is>
      </c>
      <c r="B363" s="1" t="n">
        <v>45848</v>
      </c>
      <c r="C363" s="1" t="n">
        <v>45967</v>
      </c>
      <c r="D363" t="inlineStr">
        <is>
          <t>DALARNAS LÄN</t>
        </is>
      </c>
      <c r="E363" t="inlineStr">
        <is>
          <t>HEDEMORA</t>
        </is>
      </c>
      <c r="G363" t="n">
        <v>2.5</v>
      </c>
      <c r="H363" t="n">
        <v>0</v>
      </c>
      <c r="I363" t="n">
        <v>0</v>
      </c>
      <c r="J363" t="n">
        <v>0</v>
      </c>
      <c r="K363" t="n">
        <v>0</v>
      </c>
      <c r="L363" t="n">
        <v>0</v>
      </c>
      <c r="M363" t="n">
        <v>0</v>
      </c>
      <c r="N363" t="n">
        <v>0</v>
      </c>
      <c r="O363" t="n">
        <v>0</v>
      </c>
      <c r="P363" t="n">
        <v>0</v>
      </c>
      <c r="Q363" t="n">
        <v>0</v>
      </c>
      <c r="R363" s="2" t="inlineStr"/>
    </row>
    <row r="364" ht="15" customHeight="1">
      <c r="A364" t="inlineStr">
        <is>
          <t>A 35103-2025</t>
        </is>
      </c>
      <c r="B364" s="1" t="n">
        <v>45852.56914351852</v>
      </c>
      <c r="C364" s="1" t="n">
        <v>45967</v>
      </c>
      <c r="D364" t="inlineStr">
        <is>
          <t>DALARNAS LÄN</t>
        </is>
      </c>
      <c r="E364" t="inlineStr">
        <is>
          <t>HEDEMORA</t>
        </is>
      </c>
      <c r="G364" t="n">
        <v>6.2</v>
      </c>
      <c r="H364" t="n">
        <v>0</v>
      </c>
      <c r="I364" t="n">
        <v>0</v>
      </c>
      <c r="J364" t="n">
        <v>0</v>
      </c>
      <c r="K364" t="n">
        <v>0</v>
      </c>
      <c r="L364" t="n">
        <v>0</v>
      </c>
      <c r="M364" t="n">
        <v>0</v>
      </c>
      <c r="N364" t="n">
        <v>0</v>
      </c>
      <c r="O364" t="n">
        <v>0</v>
      </c>
      <c r="P364" t="n">
        <v>0</v>
      </c>
      <c r="Q364" t="n">
        <v>0</v>
      </c>
      <c r="R364" s="2" t="inlineStr"/>
    </row>
    <row r="365" ht="15" customHeight="1">
      <c r="A365" t="inlineStr">
        <is>
          <t>A 15048-2025</t>
        </is>
      </c>
      <c r="B365" s="1" t="n">
        <v>45743.69820601852</v>
      </c>
      <c r="C365" s="1" t="n">
        <v>45967</v>
      </c>
      <c r="D365" t="inlineStr">
        <is>
          <t>DALARNAS LÄN</t>
        </is>
      </c>
      <c r="E365" t="inlineStr">
        <is>
          <t>HEDEMORA</t>
        </is>
      </c>
      <c r="F365" t="inlineStr">
        <is>
          <t>Sveaskog</t>
        </is>
      </c>
      <c r="G365" t="n">
        <v>9.1</v>
      </c>
      <c r="H365" t="n">
        <v>0</v>
      </c>
      <c r="I365" t="n">
        <v>0</v>
      </c>
      <c r="J365" t="n">
        <v>0</v>
      </c>
      <c r="K365" t="n">
        <v>0</v>
      </c>
      <c r="L365" t="n">
        <v>0</v>
      </c>
      <c r="M365" t="n">
        <v>0</v>
      </c>
      <c r="N365" t="n">
        <v>0</v>
      </c>
      <c r="O365" t="n">
        <v>0</v>
      </c>
      <c r="P365" t="n">
        <v>0</v>
      </c>
      <c r="Q365" t="n">
        <v>0</v>
      </c>
      <c r="R365" s="2" t="inlineStr"/>
    </row>
    <row r="366" ht="15" customHeight="1">
      <c r="A366" t="inlineStr">
        <is>
          <t>A 15054-2025</t>
        </is>
      </c>
      <c r="B366" s="1" t="n">
        <v>45743.70199074074</v>
      </c>
      <c r="C366" s="1" t="n">
        <v>45967</v>
      </c>
      <c r="D366" t="inlineStr">
        <is>
          <t>DALARNAS LÄN</t>
        </is>
      </c>
      <c r="E366" t="inlineStr">
        <is>
          <t>HEDEMORA</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36117-2025</t>
        </is>
      </c>
      <c r="B367" s="1" t="n">
        <v>45866.58664351852</v>
      </c>
      <c r="C367" s="1" t="n">
        <v>45967</v>
      </c>
      <c r="D367" t="inlineStr">
        <is>
          <t>DALARNAS LÄN</t>
        </is>
      </c>
      <c r="E367" t="inlineStr">
        <is>
          <t>HEDEMORA</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36103-2025</t>
        </is>
      </c>
      <c r="B368" s="1" t="n">
        <v>45866.55335648148</v>
      </c>
      <c r="C368" s="1" t="n">
        <v>45967</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36075-2025</t>
        </is>
      </c>
      <c r="B369" s="1" t="n">
        <v>45866.43974537037</v>
      </c>
      <c r="C369" s="1" t="n">
        <v>45967</v>
      </c>
      <c r="D369" t="inlineStr">
        <is>
          <t>DALARNAS LÄN</t>
        </is>
      </c>
      <c r="E369" t="inlineStr">
        <is>
          <t>HEDEMORA</t>
        </is>
      </c>
      <c r="G369" t="n">
        <v>0.8</v>
      </c>
      <c r="H369" t="n">
        <v>0</v>
      </c>
      <c r="I369" t="n">
        <v>0</v>
      </c>
      <c r="J369" t="n">
        <v>0</v>
      </c>
      <c r="K369" t="n">
        <v>0</v>
      </c>
      <c r="L369" t="n">
        <v>0</v>
      </c>
      <c r="M369" t="n">
        <v>0</v>
      </c>
      <c r="N369" t="n">
        <v>0</v>
      </c>
      <c r="O369" t="n">
        <v>0</v>
      </c>
      <c r="P369" t="n">
        <v>0</v>
      </c>
      <c r="Q369" t="n">
        <v>0</v>
      </c>
      <c r="R369" s="2" t="inlineStr"/>
    </row>
    <row r="370" ht="15" customHeight="1">
      <c r="A370" t="inlineStr">
        <is>
          <t>A 36206-2025</t>
        </is>
      </c>
      <c r="B370" s="1" t="n">
        <v>45867.45057870371</v>
      </c>
      <c r="C370" s="1" t="n">
        <v>45967</v>
      </c>
      <c r="D370" t="inlineStr">
        <is>
          <t>DALARNAS LÄN</t>
        </is>
      </c>
      <c r="E370" t="inlineStr">
        <is>
          <t>HEDEMORA</t>
        </is>
      </c>
      <c r="G370" t="n">
        <v>0.1</v>
      </c>
      <c r="H370" t="n">
        <v>0</v>
      </c>
      <c r="I370" t="n">
        <v>0</v>
      </c>
      <c r="J370" t="n">
        <v>0</v>
      </c>
      <c r="K370" t="n">
        <v>0</v>
      </c>
      <c r="L370" t="n">
        <v>0</v>
      </c>
      <c r="M370" t="n">
        <v>0</v>
      </c>
      <c r="N370" t="n">
        <v>0</v>
      </c>
      <c r="O370" t="n">
        <v>0</v>
      </c>
      <c r="P370" t="n">
        <v>0</v>
      </c>
      <c r="Q370" t="n">
        <v>0</v>
      </c>
      <c r="R370" s="2" t="inlineStr"/>
    </row>
    <row r="371" ht="15" customHeight="1">
      <c r="A371" t="inlineStr">
        <is>
          <t>A 20273-2025</t>
        </is>
      </c>
      <c r="B371" s="1" t="n">
        <v>45773.71921296296</v>
      </c>
      <c r="C371" s="1" t="n">
        <v>45967</v>
      </c>
      <c r="D371" t="inlineStr">
        <is>
          <t>DALARNAS LÄN</t>
        </is>
      </c>
      <c r="E371" t="inlineStr">
        <is>
          <t>HEDEMORA</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29128-2025</t>
        </is>
      </c>
      <c r="B372" s="1" t="n">
        <v>45821.60116898148</v>
      </c>
      <c r="C372" s="1" t="n">
        <v>45967</v>
      </c>
      <c r="D372" t="inlineStr">
        <is>
          <t>DALARNAS LÄN</t>
        </is>
      </c>
      <c r="E372" t="inlineStr">
        <is>
          <t>HEDEMORA</t>
        </is>
      </c>
      <c r="F372" t="inlineStr">
        <is>
          <t>Sveaskog</t>
        </is>
      </c>
      <c r="G372" t="n">
        <v>15.5</v>
      </c>
      <c r="H372" t="n">
        <v>0</v>
      </c>
      <c r="I372" t="n">
        <v>0</v>
      </c>
      <c r="J372" t="n">
        <v>0</v>
      </c>
      <c r="K372" t="n">
        <v>0</v>
      </c>
      <c r="L372" t="n">
        <v>0</v>
      </c>
      <c r="M372" t="n">
        <v>0</v>
      </c>
      <c r="N372" t="n">
        <v>0</v>
      </c>
      <c r="O372" t="n">
        <v>0</v>
      </c>
      <c r="P372" t="n">
        <v>0</v>
      </c>
      <c r="Q372" t="n">
        <v>0</v>
      </c>
      <c r="R372" s="2" t="inlineStr"/>
    </row>
    <row r="373" ht="15" customHeight="1">
      <c r="A373" t="inlineStr">
        <is>
          <t>A 36656-2025</t>
        </is>
      </c>
      <c r="B373" s="1" t="n">
        <v>45873.34642361111</v>
      </c>
      <c r="C373" s="1" t="n">
        <v>45967</v>
      </c>
      <c r="D373" t="inlineStr">
        <is>
          <t>DALARNAS LÄN</t>
        </is>
      </c>
      <c r="E373" t="inlineStr">
        <is>
          <t>HEDEMORA</t>
        </is>
      </c>
      <c r="G373" t="n">
        <v>1.7</v>
      </c>
      <c r="H373" t="n">
        <v>0</v>
      </c>
      <c r="I373" t="n">
        <v>0</v>
      </c>
      <c r="J373" t="n">
        <v>0</v>
      </c>
      <c r="K373" t="n">
        <v>0</v>
      </c>
      <c r="L373" t="n">
        <v>0</v>
      </c>
      <c r="M373" t="n">
        <v>0</v>
      </c>
      <c r="N373" t="n">
        <v>0</v>
      </c>
      <c r="O373" t="n">
        <v>0</v>
      </c>
      <c r="P373" t="n">
        <v>0</v>
      </c>
      <c r="Q373" t="n">
        <v>0</v>
      </c>
      <c r="R373" s="2" t="inlineStr"/>
    </row>
    <row r="374" ht="15" customHeight="1">
      <c r="A374" t="inlineStr">
        <is>
          <t>A 29792-2025</t>
        </is>
      </c>
      <c r="B374" s="1" t="n">
        <v>45825.66416666667</v>
      </c>
      <c r="C374" s="1" t="n">
        <v>45967</v>
      </c>
      <c r="D374" t="inlineStr">
        <is>
          <t>DALARNAS LÄN</t>
        </is>
      </c>
      <c r="E374" t="inlineStr">
        <is>
          <t>HEDEMORA</t>
        </is>
      </c>
      <c r="F374" t="inlineStr">
        <is>
          <t>Sveaskog</t>
        </is>
      </c>
      <c r="G374" t="n">
        <v>26.3</v>
      </c>
      <c r="H374" t="n">
        <v>0</v>
      </c>
      <c r="I374" t="n">
        <v>0</v>
      </c>
      <c r="J374" t="n">
        <v>0</v>
      </c>
      <c r="K374" t="n">
        <v>0</v>
      </c>
      <c r="L374" t="n">
        <v>0</v>
      </c>
      <c r="M374" t="n">
        <v>0</v>
      </c>
      <c r="N374" t="n">
        <v>0</v>
      </c>
      <c r="O374" t="n">
        <v>0</v>
      </c>
      <c r="P374" t="n">
        <v>0</v>
      </c>
      <c r="Q374" t="n">
        <v>0</v>
      </c>
      <c r="R374" s="2" t="inlineStr"/>
    </row>
    <row r="375" ht="15" customHeight="1">
      <c r="A375" t="inlineStr">
        <is>
          <t>A 20271-2025</t>
        </is>
      </c>
      <c r="B375" s="1" t="n">
        <v>45773.71568287037</v>
      </c>
      <c r="C375" s="1" t="n">
        <v>45967</v>
      </c>
      <c r="D375" t="inlineStr">
        <is>
          <t>DALARNAS LÄN</t>
        </is>
      </c>
      <c r="E375" t="inlineStr">
        <is>
          <t>HEDEMORA</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37574-2025</t>
        </is>
      </c>
      <c r="B376" s="1" t="n">
        <v>45880.37949074074</v>
      </c>
      <c r="C376" s="1" t="n">
        <v>45967</v>
      </c>
      <c r="D376" t="inlineStr">
        <is>
          <t>DALARNAS LÄN</t>
        </is>
      </c>
      <c r="E376" t="inlineStr">
        <is>
          <t>HEDEMORA</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37573-2025</t>
        </is>
      </c>
      <c r="B377" s="1" t="n">
        <v>45880.37711805556</v>
      </c>
      <c r="C377" s="1" t="n">
        <v>45967</v>
      </c>
      <c r="D377" t="inlineStr">
        <is>
          <t>DALARNAS LÄN</t>
        </is>
      </c>
      <c r="E377" t="inlineStr">
        <is>
          <t>HEDEMORA</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19690-2025</t>
        </is>
      </c>
      <c r="B378" s="1" t="n">
        <v>45770</v>
      </c>
      <c r="C378" s="1" t="n">
        <v>45967</v>
      </c>
      <c r="D378" t="inlineStr">
        <is>
          <t>DALARNAS LÄN</t>
        </is>
      </c>
      <c r="E378" t="inlineStr">
        <is>
          <t>HEDEMORA</t>
        </is>
      </c>
      <c r="G378" t="n">
        <v>1.6</v>
      </c>
      <c r="H378" t="n">
        <v>0</v>
      </c>
      <c r="I378" t="n">
        <v>0</v>
      </c>
      <c r="J378" t="n">
        <v>0</v>
      </c>
      <c r="K378" t="n">
        <v>0</v>
      </c>
      <c r="L378" t="n">
        <v>0</v>
      </c>
      <c r="M378" t="n">
        <v>0</v>
      </c>
      <c r="N378" t="n">
        <v>0</v>
      </c>
      <c r="O378" t="n">
        <v>0</v>
      </c>
      <c r="P378" t="n">
        <v>0</v>
      </c>
      <c r="Q378" t="n">
        <v>0</v>
      </c>
      <c r="R378" s="2" t="inlineStr"/>
    </row>
    <row r="379" ht="15" customHeight="1">
      <c r="A379" t="inlineStr">
        <is>
          <t>A 21868-2025</t>
        </is>
      </c>
      <c r="B379" s="1" t="n">
        <v>45784</v>
      </c>
      <c r="C379" s="1" t="n">
        <v>45967</v>
      </c>
      <c r="D379" t="inlineStr">
        <is>
          <t>DALARNAS LÄN</t>
        </is>
      </c>
      <c r="E379" t="inlineStr">
        <is>
          <t>HEDEMORA</t>
        </is>
      </c>
      <c r="F379" t="inlineStr">
        <is>
          <t>Sveaskog</t>
        </is>
      </c>
      <c r="G379" t="n">
        <v>10.1</v>
      </c>
      <c r="H379" t="n">
        <v>0</v>
      </c>
      <c r="I379" t="n">
        <v>0</v>
      </c>
      <c r="J379" t="n">
        <v>0</v>
      </c>
      <c r="K379" t="n">
        <v>0</v>
      </c>
      <c r="L379" t="n">
        <v>0</v>
      </c>
      <c r="M379" t="n">
        <v>0</v>
      </c>
      <c r="N379" t="n">
        <v>0</v>
      </c>
      <c r="O379" t="n">
        <v>0</v>
      </c>
      <c r="P379" t="n">
        <v>0</v>
      </c>
      <c r="Q379" t="n">
        <v>0</v>
      </c>
      <c r="R379" s="2" t="inlineStr"/>
    </row>
    <row r="380">
      <c r="A380" t="inlineStr">
        <is>
          <t>A 21864-2025</t>
        </is>
      </c>
      <c r="B380" s="1" t="n">
        <v>45784</v>
      </c>
      <c r="C380" s="1" t="n">
        <v>45967</v>
      </c>
      <c r="D380" t="inlineStr">
        <is>
          <t>DALARNAS LÄN</t>
        </is>
      </c>
      <c r="E380" t="inlineStr">
        <is>
          <t>HEDEMORA</t>
        </is>
      </c>
      <c r="F380" t="inlineStr">
        <is>
          <t>Sveaskog</t>
        </is>
      </c>
      <c r="G380" t="n">
        <v>5.1</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2025-11-06T10:20:14Z</dcterms:created>
  <dcterms:modified xmlns:dcterms="http://purl.org/dc/terms/" xmlns:xsi="http://www.w3.org/2001/XMLSchema-instance" xsi:type="dcterms:W3CDTF">2025-11-06T10:20:14Z</dcterms:modified>
</cp:coreProperties>
</file>