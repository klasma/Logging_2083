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45877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45877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45877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45877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45877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45877</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45877</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45877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45877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45877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45877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45877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45877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v>
      </c>
      <c r="C15" s="1" t="n">
        <v>45877</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54380-2020</t>
        </is>
      </c>
      <c r="B16" s="1" t="n">
        <v>44126</v>
      </c>
      <c r="C16" s="1" t="n">
        <v>45877</v>
      </c>
      <c r="D16" t="inlineStr">
        <is>
          <t>DALARNAS LÄN</t>
        </is>
      </c>
      <c r="E16" t="inlineStr">
        <is>
          <t>HEDEMORA</t>
        </is>
      </c>
      <c r="G16" t="n">
        <v>2.4</v>
      </c>
      <c r="H16" t="n">
        <v>3</v>
      </c>
      <c r="I16" t="n">
        <v>4</v>
      </c>
      <c r="J16" t="n">
        <v>0</v>
      </c>
      <c r="K16" t="n">
        <v>1</v>
      </c>
      <c r="L16" t="n">
        <v>0</v>
      </c>
      <c r="M16" t="n">
        <v>0</v>
      </c>
      <c r="N16" t="n">
        <v>0</v>
      </c>
      <c r="O16" t="n">
        <v>1</v>
      </c>
      <c r="P16" t="n">
        <v>1</v>
      </c>
      <c r="Q16" t="n">
        <v>7</v>
      </c>
      <c r="R16" s="2" t="inlineStr">
        <is>
          <t>Knärot
Bronshjon
Fjällig taggsvamp s.str.
Rödgul trumpetsvamp
Svavelriska
Vanlig groda
Revlummer</t>
        </is>
      </c>
      <c r="S16">
        <f>HYPERLINK("https://klasma.github.io/Logging_2083/artfynd/A 54380-2020 artfynd.xlsx", "A 54380-2020")</f>
        <v/>
      </c>
      <c r="T16">
        <f>HYPERLINK("https://klasma.github.io/Logging_2083/kartor/A 54380-2020 karta.png", "A 54380-2020")</f>
        <v/>
      </c>
      <c r="U16">
        <f>HYPERLINK("https://klasma.github.io/Logging_2083/knärot/A 54380-2020 karta knärot.png", "A 54380-2020")</f>
        <v/>
      </c>
      <c r="V16">
        <f>HYPERLINK("https://klasma.github.io/Logging_2083/klagomål/A 54380-2020 FSC-klagomål.docx", "A 54380-2020")</f>
        <v/>
      </c>
      <c r="W16">
        <f>HYPERLINK("https://klasma.github.io/Logging_2083/klagomålsmail/A 54380-2020 FSC-klagomål mail.docx", "A 54380-2020")</f>
        <v/>
      </c>
      <c r="X16">
        <f>HYPERLINK("https://klasma.github.io/Logging_2083/tillsyn/A 54380-2020 tillsynsbegäran.docx", "A 54380-2020")</f>
        <v/>
      </c>
      <c r="Y16">
        <f>HYPERLINK("https://klasma.github.io/Logging_2083/tillsynsmail/A 54380-2020 tillsynsbegäran mail.docx", "A 54380-2020")</f>
        <v/>
      </c>
    </row>
    <row r="17" ht="15" customHeight="1">
      <c r="A17" t="inlineStr">
        <is>
          <t>A 73456-2021</t>
        </is>
      </c>
      <c r="B17" s="1" t="n">
        <v>44551</v>
      </c>
      <c r="C17" s="1" t="n">
        <v>45877</v>
      </c>
      <c r="D17" t="inlineStr">
        <is>
          <t>DALARNAS LÄN</t>
        </is>
      </c>
      <c r="E17" t="inlineStr">
        <is>
          <t>HEDEMORA</t>
        </is>
      </c>
      <c r="G17" t="n">
        <v>5.9</v>
      </c>
      <c r="H17" t="n">
        <v>5</v>
      </c>
      <c r="I17" t="n">
        <v>1</v>
      </c>
      <c r="J17" t="n">
        <v>4</v>
      </c>
      <c r="K17" t="n">
        <v>1</v>
      </c>
      <c r="L17" t="n">
        <v>0</v>
      </c>
      <c r="M17" t="n">
        <v>0</v>
      </c>
      <c r="N17" t="n">
        <v>0</v>
      </c>
      <c r="O17" t="n">
        <v>5</v>
      </c>
      <c r="P17" t="n">
        <v>1</v>
      </c>
      <c r="Q17" t="n">
        <v>7</v>
      </c>
      <c r="R17" s="2" t="inlineStr">
        <is>
          <t>Knärot
Slaguggla
Spillkråka
Talltita
Ullticka
Vedticka
Fläcknycklar</t>
        </is>
      </c>
      <c r="S17">
        <f>HYPERLINK("https://klasma.github.io/Logging_2083/artfynd/A 73456-2021 artfynd.xlsx", "A 73456-2021")</f>
        <v/>
      </c>
      <c r="T17">
        <f>HYPERLINK("https://klasma.github.io/Logging_2083/kartor/A 73456-2021 karta.png", "A 73456-2021")</f>
        <v/>
      </c>
      <c r="U17">
        <f>HYPERLINK("https://klasma.github.io/Logging_2083/knärot/A 73456-2021 karta knärot.png", "A 73456-2021")</f>
        <v/>
      </c>
      <c r="V17">
        <f>HYPERLINK("https://klasma.github.io/Logging_2083/klagomål/A 73456-2021 FSC-klagomål.docx", "A 73456-2021")</f>
        <v/>
      </c>
      <c r="W17">
        <f>HYPERLINK("https://klasma.github.io/Logging_2083/klagomålsmail/A 73456-2021 FSC-klagomål mail.docx", "A 73456-2021")</f>
        <v/>
      </c>
      <c r="X17">
        <f>HYPERLINK("https://klasma.github.io/Logging_2083/tillsyn/A 73456-2021 tillsynsbegäran.docx", "A 73456-2021")</f>
        <v/>
      </c>
      <c r="Y17">
        <f>HYPERLINK("https://klasma.github.io/Logging_2083/tillsynsmail/A 73456-2021 tillsynsbegäran mail.docx", "A 73456-2021")</f>
        <v/>
      </c>
      <c r="Z17">
        <f>HYPERLINK("https://klasma.github.io/Logging_2083/fåglar/A 73456-2021 prioriterade fågelarter.docx", "A 73456-2021")</f>
        <v/>
      </c>
    </row>
    <row r="18" ht="15" customHeight="1">
      <c r="A18" t="inlineStr">
        <is>
          <t>A 59378-2023</t>
        </is>
      </c>
      <c r="B18" s="1" t="n">
        <v>45253</v>
      </c>
      <c r="C18" s="1" t="n">
        <v>45877</v>
      </c>
      <c r="D18" t="inlineStr">
        <is>
          <t>DALARNAS LÄN</t>
        </is>
      </c>
      <c r="E18" t="inlineStr">
        <is>
          <t>HEDEMORA</t>
        </is>
      </c>
      <c r="F18" t="inlineStr">
        <is>
          <t>Sveaskog</t>
        </is>
      </c>
      <c r="G18" t="n">
        <v>20.3</v>
      </c>
      <c r="H18" t="n">
        <v>2</v>
      </c>
      <c r="I18" t="n">
        <v>3</v>
      </c>
      <c r="J18" t="n">
        <v>2</v>
      </c>
      <c r="K18" t="n">
        <v>1</v>
      </c>
      <c r="L18" t="n">
        <v>0</v>
      </c>
      <c r="M18" t="n">
        <v>0</v>
      </c>
      <c r="N18" t="n">
        <v>0</v>
      </c>
      <c r="O18" t="n">
        <v>3</v>
      </c>
      <c r="P18" t="n">
        <v>1</v>
      </c>
      <c r="Q18" t="n">
        <v>7</v>
      </c>
      <c r="R18" s="2" t="inlineStr">
        <is>
          <t>Knärot
Garnlav
Ullticka
Mörk husmossa
Svavelriska
Vedticka
Blåsippa</t>
        </is>
      </c>
      <c r="S18">
        <f>HYPERLINK("https://klasma.github.io/Logging_2083/artfynd/A 59378-2023 artfynd.xlsx", "A 59378-2023")</f>
        <v/>
      </c>
      <c r="T18">
        <f>HYPERLINK("https://klasma.github.io/Logging_2083/kartor/A 59378-2023 karta.png", "A 59378-2023")</f>
        <v/>
      </c>
      <c r="U18">
        <f>HYPERLINK("https://klasma.github.io/Logging_2083/knärot/A 59378-2023 karta knärot.png", "A 59378-2023")</f>
        <v/>
      </c>
      <c r="V18">
        <f>HYPERLINK("https://klasma.github.io/Logging_2083/klagomål/A 59378-2023 FSC-klagomål.docx", "A 59378-2023")</f>
        <v/>
      </c>
      <c r="W18">
        <f>HYPERLINK("https://klasma.github.io/Logging_2083/klagomålsmail/A 59378-2023 FSC-klagomål mail.docx", "A 59378-2023")</f>
        <v/>
      </c>
      <c r="X18">
        <f>HYPERLINK("https://klasma.github.io/Logging_2083/tillsyn/A 59378-2023 tillsynsbegäran.docx", "A 59378-2023")</f>
        <v/>
      </c>
      <c r="Y18">
        <f>HYPERLINK("https://klasma.github.io/Logging_2083/tillsynsmail/A 59378-2023 tillsynsbegäran mail.docx", "A 59378-2023")</f>
        <v/>
      </c>
    </row>
    <row r="19" ht="15" customHeight="1">
      <c r="A19" t="inlineStr">
        <is>
          <t>A 30913-2024</t>
        </is>
      </c>
      <c r="B19" s="1" t="n">
        <v>45498</v>
      </c>
      <c r="C19" s="1" t="n">
        <v>45877</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45877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45877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45877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45877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45877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45877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45877</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45877</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45877</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45877</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45877</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45877</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45877</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45877</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45877</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45877</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45877</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45877</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45877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45877</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45877</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45877</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45877</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45877</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29857-2020</t>
        </is>
      </c>
      <c r="B44" s="1" t="n">
        <v>44006</v>
      </c>
      <c r="C44" s="1" t="n">
        <v>45877</v>
      </c>
      <c r="D44" t="inlineStr">
        <is>
          <t>DALARNAS LÄN</t>
        </is>
      </c>
      <c r="E44" t="inlineStr">
        <is>
          <t>HEDEMORA</t>
        </is>
      </c>
      <c r="G44" t="n">
        <v>0.4</v>
      </c>
      <c r="H44" t="n">
        <v>2</v>
      </c>
      <c r="I44" t="n">
        <v>0</v>
      </c>
      <c r="J44" t="n">
        <v>2</v>
      </c>
      <c r="K44" t="n">
        <v>0</v>
      </c>
      <c r="L44" t="n">
        <v>0</v>
      </c>
      <c r="M44" t="n">
        <v>0</v>
      </c>
      <c r="N44" t="n">
        <v>0</v>
      </c>
      <c r="O44" t="n">
        <v>2</v>
      </c>
      <c r="P44" t="n">
        <v>0</v>
      </c>
      <c r="Q44" t="n">
        <v>2</v>
      </c>
      <c r="R44" s="2" t="inlineStr">
        <is>
          <t>Gulsparv
Rödvingetrast</t>
        </is>
      </c>
      <c r="S44">
        <f>HYPERLINK("https://klasma.github.io/Logging_2083/artfynd/A 29857-2020 artfynd.xlsx", "A 29857-2020")</f>
        <v/>
      </c>
      <c r="T44">
        <f>HYPERLINK("https://klasma.github.io/Logging_2083/kartor/A 29857-2020 karta.png", "A 29857-2020")</f>
        <v/>
      </c>
      <c r="V44">
        <f>HYPERLINK("https://klasma.github.io/Logging_2083/klagomål/A 29857-2020 FSC-klagomål.docx", "A 29857-2020")</f>
        <v/>
      </c>
      <c r="W44">
        <f>HYPERLINK("https://klasma.github.io/Logging_2083/klagomålsmail/A 29857-2020 FSC-klagomål mail.docx", "A 29857-2020")</f>
        <v/>
      </c>
      <c r="X44">
        <f>HYPERLINK("https://klasma.github.io/Logging_2083/tillsyn/A 29857-2020 tillsynsbegäran.docx", "A 29857-2020")</f>
        <v/>
      </c>
      <c r="Y44">
        <f>HYPERLINK("https://klasma.github.io/Logging_2083/tillsynsmail/A 29857-2020 tillsynsbegäran mail.docx", "A 29857-2020")</f>
        <v/>
      </c>
      <c r="Z44">
        <f>HYPERLINK("https://klasma.github.io/Logging_2083/fåglar/A 29857-2020 prioriterade fågelarter.docx", "A 29857-2020")</f>
        <v/>
      </c>
    </row>
    <row r="45" ht="15" customHeight="1">
      <c r="A45" t="inlineStr">
        <is>
          <t>A 49765-2020</t>
        </is>
      </c>
      <c r="B45" s="1" t="n">
        <v>44106</v>
      </c>
      <c r="C45" s="1" t="n">
        <v>45877</v>
      </c>
      <c r="D45" t="inlineStr">
        <is>
          <t>DALARNAS LÄN</t>
        </is>
      </c>
      <c r="E45" t="inlineStr">
        <is>
          <t>HEDEMORA</t>
        </is>
      </c>
      <c r="F45" t="inlineStr">
        <is>
          <t>Sveaskog</t>
        </is>
      </c>
      <c r="G45" t="n">
        <v>5.8</v>
      </c>
      <c r="H45" t="n">
        <v>2</v>
      </c>
      <c r="I45" t="n">
        <v>0</v>
      </c>
      <c r="J45" t="n">
        <v>0</v>
      </c>
      <c r="K45" t="n">
        <v>1</v>
      </c>
      <c r="L45" t="n">
        <v>0</v>
      </c>
      <c r="M45" t="n">
        <v>0</v>
      </c>
      <c r="N45" t="n">
        <v>0</v>
      </c>
      <c r="O45" t="n">
        <v>1</v>
      </c>
      <c r="P45" t="n">
        <v>1</v>
      </c>
      <c r="Q45" t="n">
        <v>2</v>
      </c>
      <c r="R45" s="2" t="inlineStr">
        <is>
          <t>Knärot
Järnsparv</t>
        </is>
      </c>
      <c r="S45">
        <f>HYPERLINK("https://klasma.github.io/Logging_2083/artfynd/A 49765-2020 artfynd.xlsx", "A 49765-2020")</f>
        <v/>
      </c>
      <c r="T45">
        <f>HYPERLINK("https://klasma.github.io/Logging_2083/kartor/A 49765-2020 karta.png", "A 49765-2020")</f>
        <v/>
      </c>
      <c r="U45">
        <f>HYPERLINK("https://klasma.github.io/Logging_2083/knärot/A 49765-2020 karta knärot.png", "A 49765-2020")</f>
        <v/>
      </c>
      <c r="V45">
        <f>HYPERLINK("https://klasma.github.io/Logging_2083/klagomål/A 49765-2020 FSC-klagomål.docx", "A 49765-2020")</f>
        <v/>
      </c>
      <c r="W45">
        <f>HYPERLINK("https://klasma.github.io/Logging_2083/klagomålsmail/A 49765-2020 FSC-klagomål mail.docx", "A 49765-2020")</f>
        <v/>
      </c>
      <c r="X45">
        <f>HYPERLINK("https://klasma.github.io/Logging_2083/tillsyn/A 49765-2020 tillsynsbegäran.docx", "A 49765-2020")</f>
        <v/>
      </c>
      <c r="Y45">
        <f>HYPERLINK("https://klasma.github.io/Logging_2083/tillsynsmail/A 49765-2020 tillsynsbegäran mail.docx", "A 49765-2020")</f>
        <v/>
      </c>
      <c r="Z45">
        <f>HYPERLINK("https://klasma.github.io/Logging_2083/fåglar/A 49765-2020 prioriterade fågelarter.docx", "A 49765-2020")</f>
        <v/>
      </c>
    </row>
    <row r="46" ht="15" customHeight="1">
      <c r="A46" t="inlineStr">
        <is>
          <t>A 15453-2021</t>
        </is>
      </c>
      <c r="B46" s="1" t="n">
        <v>44285</v>
      </c>
      <c r="C46" s="1" t="n">
        <v>45877</v>
      </c>
      <c r="D46" t="inlineStr">
        <is>
          <t>DALARNAS LÄN</t>
        </is>
      </c>
      <c r="E46" t="inlineStr">
        <is>
          <t>HEDEMORA</t>
        </is>
      </c>
      <c r="G46" t="n">
        <v>2.5</v>
      </c>
      <c r="H46" t="n">
        <v>2</v>
      </c>
      <c r="I46" t="n">
        <v>0</v>
      </c>
      <c r="J46" t="n">
        <v>2</v>
      </c>
      <c r="K46" t="n">
        <v>0</v>
      </c>
      <c r="L46" t="n">
        <v>0</v>
      </c>
      <c r="M46" t="n">
        <v>0</v>
      </c>
      <c r="N46" t="n">
        <v>0</v>
      </c>
      <c r="O46" t="n">
        <v>2</v>
      </c>
      <c r="P46" t="n">
        <v>0</v>
      </c>
      <c r="Q46" t="n">
        <v>2</v>
      </c>
      <c r="R46" s="2" t="inlineStr">
        <is>
          <t>Spillkråka
Tretåig hackspett</t>
        </is>
      </c>
      <c r="S46">
        <f>HYPERLINK("https://klasma.github.io/Logging_2083/artfynd/A 15453-2021 artfynd.xlsx", "A 15453-2021")</f>
        <v/>
      </c>
      <c r="T46">
        <f>HYPERLINK("https://klasma.github.io/Logging_2083/kartor/A 15453-2021 karta.png", "A 15453-2021")</f>
        <v/>
      </c>
      <c r="V46">
        <f>HYPERLINK("https://klasma.github.io/Logging_2083/klagomål/A 15453-2021 FSC-klagomål.docx", "A 15453-2021")</f>
        <v/>
      </c>
      <c r="W46">
        <f>HYPERLINK("https://klasma.github.io/Logging_2083/klagomålsmail/A 15453-2021 FSC-klagomål mail.docx", "A 15453-2021")</f>
        <v/>
      </c>
      <c r="X46">
        <f>HYPERLINK("https://klasma.github.io/Logging_2083/tillsyn/A 15453-2021 tillsynsbegäran.docx", "A 15453-2021")</f>
        <v/>
      </c>
      <c r="Y46">
        <f>HYPERLINK("https://klasma.github.io/Logging_2083/tillsynsmail/A 15453-2021 tillsynsbegäran mail.docx", "A 15453-2021")</f>
        <v/>
      </c>
      <c r="Z46">
        <f>HYPERLINK("https://klasma.github.io/Logging_2083/fåglar/A 15453-2021 prioriterade fågelarter.docx", "A 15453-2021")</f>
        <v/>
      </c>
    </row>
    <row r="47" ht="15" customHeight="1">
      <c r="A47" t="inlineStr">
        <is>
          <t>A 28066-2021</t>
        </is>
      </c>
      <c r="B47" s="1" t="n">
        <v>44355</v>
      </c>
      <c r="C47" s="1" t="n">
        <v>45877</v>
      </c>
      <c r="D47" t="inlineStr">
        <is>
          <t>DALARNAS LÄN</t>
        </is>
      </c>
      <c r="E47" t="inlineStr">
        <is>
          <t>HEDEMORA</t>
        </is>
      </c>
      <c r="F47" t="inlineStr">
        <is>
          <t>Sveaskog</t>
        </is>
      </c>
      <c r="G47" t="n">
        <v>1.7</v>
      </c>
      <c r="H47" t="n">
        <v>1</v>
      </c>
      <c r="I47" t="n">
        <v>1</v>
      </c>
      <c r="J47" t="n">
        <v>0</v>
      </c>
      <c r="K47" t="n">
        <v>0</v>
      </c>
      <c r="L47" t="n">
        <v>0</v>
      </c>
      <c r="M47" t="n">
        <v>0</v>
      </c>
      <c r="N47" t="n">
        <v>0</v>
      </c>
      <c r="O47" t="n">
        <v>0</v>
      </c>
      <c r="P47" t="n">
        <v>0</v>
      </c>
      <c r="Q47" t="n">
        <v>2</v>
      </c>
      <c r="R47" s="2" t="inlineStr">
        <is>
          <t>Bronshjon
Vanlig groda</t>
        </is>
      </c>
      <c r="S47">
        <f>HYPERLINK("https://klasma.github.io/Logging_2083/artfynd/A 28066-2021 artfynd.xlsx", "A 28066-2021")</f>
        <v/>
      </c>
      <c r="T47">
        <f>HYPERLINK("https://klasma.github.io/Logging_2083/kartor/A 28066-2021 karta.png", "A 28066-2021")</f>
        <v/>
      </c>
      <c r="V47">
        <f>HYPERLINK("https://klasma.github.io/Logging_2083/klagomål/A 28066-2021 FSC-klagomål.docx", "A 28066-2021")</f>
        <v/>
      </c>
      <c r="W47">
        <f>HYPERLINK("https://klasma.github.io/Logging_2083/klagomålsmail/A 28066-2021 FSC-klagomål mail.docx", "A 28066-2021")</f>
        <v/>
      </c>
      <c r="X47">
        <f>HYPERLINK("https://klasma.github.io/Logging_2083/tillsyn/A 28066-2021 tillsynsbegäran.docx", "A 28066-2021")</f>
        <v/>
      </c>
      <c r="Y47">
        <f>HYPERLINK("https://klasma.github.io/Logging_2083/tillsynsmail/A 28066-2021 tillsynsbegäran mail.docx", "A 28066-2021")</f>
        <v/>
      </c>
    </row>
    <row r="48" ht="15" customHeight="1">
      <c r="A48" t="inlineStr">
        <is>
          <t>A 34361-2021</t>
        </is>
      </c>
      <c r="B48" s="1" t="n">
        <v>44379</v>
      </c>
      <c r="C48" s="1" t="n">
        <v>45877</v>
      </c>
      <c r="D48" t="inlineStr">
        <is>
          <t>DALARNAS LÄN</t>
        </is>
      </c>
      <c r="E48" t="inlineStr">
        <is>
          <t>HEDEMORA</t>
        </is>
      </c>
      <c r="F48" t="inlineStr">
        <is>
          <t>Sveaskog</t>
        </is>
      </c>
      <c r="G48" t="n">
        <v>1</v>
      </c>
      <c r="H48" t="n">
        <v>1</v>
      </c>
      <c r="I48" t="n">
        <v>0</v>
      </c>
      <c r="J48" t="n">
        <v>1</v>
      </c>
      <c r="K48" t="n">
        <v>1</v>
      </c>
      <c r="L48" t="n">
        <v>0</v>
      </c>
      <c r="M48" t="n">
        <v>0</v>
      </c>
      <c r="N48" t="n">
        <v>0</v>
      </c>
      <c r="O48" t="n">
        <v>2</v>
      </c>
      <c r="P48" t="n">
        <v>1</v>
      </c>
      <c r="Q48" t="n">
        <v>2</v>
      </c>
      <c r="R48" s="2" t="inlineStr">
        <is>
          <t>Knärot
Dofttaggsvamp</t>
        </is>
      </c>
      <c r="S48">
        <f>HYPERLINK("https://klasma.github.io/Logging_2083/artfynd/A 34361-2021 artfynd.xlsx", "A 34361-2021")</f>
        <v/>
      </c>
      <c r="T48">
        <f>HYPERLINK("https://klasma.github.io/Logging_2083/kartor/A 34361-2021 karta.png", "A 34361-2021")</f>
        <v/>
      </c>
      <c r="U48">
        <f>HYPERLINK("https://klasma.github.io/Logging_2083/knärot/A 34361-2021 karta knärot.png", "A 34361-2021")</f>
        <v/>
      </c>
      <c r="V48">
        <f>HYPERLINK("https://klasma.github.io/Logging_2083/klagomål/A 34361-2021 FSC-klagomål.docx", "A 34361-2021")</f>
        <v/>
      </c>
      <c r="W48">
        <f>HYPERLINK("https://klasma.github.io/Logging_2083/klagomålsmail/A 34361-2021 FSC-klagomål mail.docx", "A 34361-2021")</f>
        <v/>
      </c>
      <c r="X48">
        <f>HYPERLINK("https://klasma.github.io/Logging_2083/tillsyn/A 34361-2021 tillsynsbegäran.docx", "A 34361-2021")</f>
        <v/>
      </c>
      <c r="Y48">
        <f>HYPERLINK("https://klasma.github.io/Logging_2083/tillsynsmail/A 34361-2021 tillsynsbegäran mail.docx", "A 34361-2021")</f>
        <v/>
      </c>
    </row>
    <row r="49" ht="15" customHeight="1">
      <c r="A49" t="inlineStr">
        <is>
          <t>A 45884-2021</t>
        </is>
      </c>
      <c r="B49" s="1" t="n">
        <v>44441</v>
      </c>
      <c r="C49" s="1" t="n">
        <v>45877</v>
      </c>
      <c r="D49" t="inlineStr">
        <is>
          <t>DALARNAS LÄN</t>
        </is>
      </c>
      <c r="E49" t="inlineStr">
        <is>
          <t>HEDEMORA</t>
        </is>
      </c>
      <c r="G49" t="n">
        <v>0.9</v>
      </c>
      <c r="H49" t="n">
        <v>1</v>
      </c>
      <c r="I49" t="n">
        <v>1</v>
      </c>
      <c r="J49" t="n">
        <v>0</v>
      </c>
      <c r="K49" t="n">
        <v>1</v>
      </c>
      <c r="L49" t="n">
        <v>0</v>
      </c>
      <c r="M49" t="n">
        <v>0</v>
      </c>
      <c r="N49" t="n">
        <v>0</v>
      </c>
      <c r="O49" t="n">
        <v>1</v>
      </c>
      <c r="P49" t="n">
        <v>1</v>
      </c>
      <c r="Q49" t="n">
        <v>2</v>
      </c>
      <c r="R49" s="2" t="inlineStr">
        <is>
          <t>Knärot
Bollvitmossa</t>
        </is>
      </c>
      <c r="S49">
        <f>HYPERLINK("https://klasma.github.io/Logging_2083/artfynd/A 45884-2021 artfynd.xlsx", "A 45884-2021")</f>
        <v/>
      </c>
      <c r="T49">
        <f>HYPERLINK("https://klasma.github.io/Logging_2083/kartor/A 45884-2021 karta.png", "A 45884-2021")</f>
        <v/>
      </c>
      <c r="U49">
        <f>HYPERLINK("https://klasma.github.io/Logging_2083/knärot/A 45884-2021 karta knärot.png", "A 45884-2021")</f>
        <v/>
      </c>
      <c r="V49">
        <f>HYPERLINK("https://klasma.github.io/Logging_2083/klagomål/A 45884-2021 FSC-klagomål.docx", "A 45884-2021")</f>
        <v/>
      </c>
      <c r="W49">
        <f>HYPERLINK("https://klasma.github.io/Logging_2083/klagomålsmail/A 45884-2021 FSC-klagomål mail.docx", "A 45884-2021")</f>
        <v/>
      </c>
      <c r="X49">
        <f>HYPERLINK("https://klasma.github.io/Logging_2083/tillsyn/A 45884-2021 tillsynsbegäran.docx", "A 45884-2021")</f>
        <v/>
      </c>
      <c r="Y49">
        <f>HYPERLINK("https://klasma.github.io/Logging_2083/tillsynsmail/A 45884-2021 tillsynsbegäran mail.docx", "A 45884-2021")</f>
        <v/>
      </c>
    </row>
    <row r="50" ht="15" customHeight="1">
      <c r="A50" t="inlineStr">
        <is>
          <t>A 3152-2022</t>
        </is>
      </c>
      <c r="B50" s="1" t="n">
        <v>44582</v>
      </c>
      <c r="C50" s="1" t="n">
        <v>45877</v>
      </c>
      <c r="D50" t="inlineStr">
        <is>
          <t>DALARNAS LÄN</t>
        </is>
      </c>
      <c r="E50" t="inlineStr">
        <is>
          <t>HEDEMORA</t>
        </is>
      </c>
      <c r="G50" t="n">
        <v>8.800000000000001</v>
      </c>
      <c r="H50" t="n">
        <v>1</v>
      </c>
      <c r="I50" t="n">
        <v>0</v>
      </c>
      <c r="J50" t="n">
        <v>1</v>
      </c>
      <c r="K50" t="n">
        <v>1</v>
      </c>
      <c r="L50" t="n">
        <v>0</v>
      </c>
      <c r="M50" t="n">
        <v>0</v>
      </c>
      <c r="N50" t="n">
        <v>0</v>
      </c>
      <c r="O50" t="n">
        <v>2</v>
      </c>
      <c r="P50" t="n">
        <v>1</v>
      </c>
      <c r="Q50" t="n">
        <v>2</v>
      </c>
      <c r="R50" s="2" t="inlineStr">
        <is>
          <t>Knärot
Ullticka</t>
        </is>
      </c>
      <c r="S50">
        <f>HYPERLINK("https://klasma.github.io/Logging_2083/artfynd/A 3152-2022 artfynd.xlsx", "A 3152-2022")</f>
        <v/>
      </c>
      <c r="T50">
        <f>HYPERLINK("https://klasma.github.io/Logging_2083/kartor/A 3152-2022 karta.png", "A 3152-2022")</f>
        <v/>
      </c>
      <c r="U50">
        <f>HYPERLINK("https://klasma.github.io/Logging_2083/knärot/A 3152-2022 karta knärot.png", "A 3152-2022")</f>
        <v/>
      </c>
      <c r="V50">
        <f>HYPERLINK("https://klasma.github.io/Logging_2083/klagomål/A 3152-2022 FSC-klagomål.docx", "A 3152-2022")</f>
        <v/>
      </c>
      <c r="W50">
        <f>HYPERLINK("https://klasma.github.io/Logging_2083/klagomålsmail/A 3152-2022 FSC-klagomål mail.docx", "A 3152-2022")</f>
        <v/>
      </c>
      <c r="X50">
        <f>HYPERLINK("https://klasma.github.io/Logging_2083/tillsyn/A 3152-2022 tillsynsbegäran.docx", "A 3152-2022")</f>
        <v/>
      </c>
      <c r="Y50">
        <f>HYPERLINK("https://klasma.github.io/Logging_2083/tillsynsmail/A 3152-2022 tillsynsbegäran mail.docx", "A 3152-2022")</f>
        <v/>
      </c>
    </row>
    <row r="51" ht="15" customHeight="1">
      <c r="A51" t="inlineStr">
        <is>
          <t>A 4031-2022</t>
        </is>
      </c>
      <c r="B51" s="1" t="n">
        <v>44588</v>
      </c>
      <c r="C51" s="1" t="n">
        <v>45877</v>
      </c>
      <c r="D51" t="inlineStr">
        <is>
          <t>DALARNAS LÄN</t>
        </is>
      </c>
      <c r="E51" t="inlineStr">
        <is>
          <t>HEDEMORA</t>
        </is>
      </c>
      <c r="F51" t="inlineStr">
        <is>
          <t>Kyrkan</t>
        </is>
      </c>
      <c r="G51" t="n">
        <v>4.3</v>
      </c>
      <c r="H51" t="n">
        <v>1</v>
      </c>
      <c r="I51" t="n">
        <v>1</v>
      </c>
      <c r="J51" t="n">
        <v>0</v>
      </c>
      <c r="K51" t="n">
        <v>0</v>
      </c>
      <c r="L51" t="n">
        <v>0</v>
      </c>
      <c r="M51" t="n">
        <v>0</v>
      </c>
      <c r="N51" t="n">
        <v>0</v>
      </c>
      <c r="O51" t="n">
        <v>0</v>
      </c>
      <c r="P51" t="n">
        <v>0</v>
      </c>
      <c r="Q51" t="n">
        <v>2</v>
      </c>
      <c r="R51" s="2" t="inlineStr">
        <is>
          <t>Stubbspretmossa
Blåsippa</t>
        </is>
      </c>
      <c r="S51">
        <f>HYPERLINK("https://klasma.github.io/Logging_2083/artfynd/A 4031-2022 artfynd.xlsx", "A 4031-2022")</f>
        <v/>
      </c>
      <c r="T51">
        <f>HYPERLINK("https://klasma.github.io/Logging_2083/kartor/A 4031-2022 karta.png", "A 4031-2022")</f>
        <v/>
      </c>
      <c r="V51">
        <f>HYPERLINK("https://klasma.github.io/Logging_2083/klagomål/A 4031-2022 FSC-klagomål.docx", "A 4031-2022")</f>
        <v/>
      </c>
      <c r="W51">
        <f>HYPERLINK("https://klasma.github.io/Logging_2083/klagomålsmail/A 4031-2022 FSC-klagomål mail.docx", "A 4031-2022")</f>
        <v/>
      </c>
      <c r="X51">
        <f>HYPERLINK("https://klasma.github.io/Logging_2083/tillsyn/A 4031-2022 tillsynsbegäran.docx", "A 4031-2022")</f>
        <v/>
      </c>
      <c r="Y51">
        <f>HYPERLINK("https://klasma.github.io/Logging_2083/tillsynsmail/A 4031-2022 tillsynsbegäran mail.docx", "A 4031-2022")</f>
        <v/>
      </c>
    </row>
    <row r="52" ht="15" customHeight="1">
      <c r="A52" t="inlineStr">
        <is>
          <t>A 54849-2022</t>
        </is>
      </c>
      <c r="B52" s="1" t="n">
        <v>44883</v>
      </c>
      <c r="C52" s="1" t="n">
        <v>45877</v>
      </c>
      <c r="D52" t="inlineStr">
        <is>
          <t>DALARNAS LÄN</t>
        </is>
      </c>
      <c r="E52" t="inlineStr">
        <is>
          <t>HEDEMORA</t>
        </is>
      </c>
      <c r="F52" t="inlineStr">
        <is>
          <t>Sveaskog</t>
        </is>
      </c>
      <c r="G52" t="n">
        <v>8.5</v>
      </c>
      <c r="H52" t="n">
        <v>1</v>
      </c>
      <c r="I52" t="n">
        <v>0</v>
      </c>
      <c r="J52" t="n">
        <v>2</v>
      </c>
      <c r="K52" t="n">
        <v>0</v>
      </c>
      <c r="L52" t="n">
        <v>0</v>
      </c>
      <c r="M52" t="n">
        <v>0</v>
      </c>
      <c r="N52" t="n">
        <v>0</v>
      </c>
      <c r="O52" t="n">
        <v>2</v>
      </c>
      <c r="P52" t="n">
        <v>0</v>
      </c>
      <c r="Q52" t="n">
        <v>2</v>
      </c>
      <c r="R52" s="2" t="inlineStr">
        <is>
          <t>Garnlav
Talltita</t>
        </is>
      </c>
      <c r="S52">
        <f>HYPERLINK("https://klasma.github.io/Logging_2083/artfynd/A 54849-2022 artfynd.xlsx", "A 54849-2022")</f>
        <v/>
      </c>
      <c r="T52">
        <f>HYPERLINK("https://klasma.github.io/Logging_2083/kartor/A 54849-2022 karta.png", "A 54849-2022")</f>
        <v/>
      </c>
      <c r="V52">
        <f>HYPERLINK("https://klasma.github.io/Logging_2083/klagomål/A 54849-2022 FSC-klagomål.docx", "A 54849-2022")</f>
        <v/>
      </c>
      <c r="W52">
        <f>HYPERLINK("https://klasma.github.io/Logging_2083/klagomålsmail/A 54849-2022 FSC-klagomål mail.docx", "A 54849-2022")</f>
        <v/>
      </c>
      <c r="X52">
        <f>HYPERLINK("https://klasma.github.io/Logging_2083/tillsyn/A 54849-2022 tillsynsbegäran.docx", "A 54849-2022")</f>
        <v/>
      </c>
      <c r="Y52">
        <f>HYPERLINK("https://klasma.github.io/Logging_2083/tillsynsmail/A 54849-2022 tillsynsbegäran mail.docx", "A 54849-2022")</f>
        <v/>
      </c>
      <c r="Z52">
        <f>HYPERLINK("https://klasma.github.io/Logging_2083/fåglar/A 54849-2022 prioriterade fågelarter.docx", "A 54849-2022")</f>
        <v/>
      </c>
    </row>
    <row r="53" ht="15" customHeight="1">
      <c r="A53" t="inlineStr">
        <is>
          <t>A 11751-2023</t>
        </is>
      </c>
      <c r="B53" s="1" t="n">
        <v>44994</v>
      </c>
      <c r="C53" s="1" t="n">
        <v>45877</v>
      </c>
      <c r="D53" t="inlineStr">
        <is>
          <t>DALARNAS LÄN</t>
        </is>
      </c>
      <c r="E53" t="inlineStr">
        <is>
          <t>HEDEMORA</t>
        </is>
      </c>
      <c r="G53" t="n">
        <v>3.7</v>
      </c>
      <c r="H53" t="n">
        <v>1</v>
      </c>
      <c r="I53" t="n">
        <v>0</v>
      </c>
      <c r="J53" t="n">
        <v>1</v>
      </c>
      <c r="K53" t="n">
        <v>0</v>
      </c>
      <c r="L53" t="n">
        <v>0</v>
      </c>
      <c r="M53" t="n">
        <v>0</v>
      </c>
      <c r="N53" t="n">
        <v>0</v>
      </c>
      <c r="O53" t="n">
        <v>1</v>
      </c>
      <c r="P53" t="n">
        <v>0</v>
      </c>
      <c r="Q53" t="n">
        <v>2</v>
      </c>
      <c r="R53" s="2" t="inlineStr">
        <is>
          <t>Vedtrappmossa
Blåsippa</t>
        </is>
      </c>
      <c r="S53">
        <f>HYPERLINK("https://klasma.github.io/Logging_2083/artfynd/A 11751-2023 artfynd.xlsx", "A 11751-2023")</f>
        <v/>
      </c>
      <c r="T53">
        <f>HYPERLINK("https://klasma.github.io/Logging_2083/kartor/A 11751-2023 karta.png", "A 11751-2023")</f>
        <v/>
      </c>
      <c r="V53">
        <f>HYPERLINK("https://klasma.github.io/Logging_2083/klagomål/A 11751-2023 FSC-klagomål.docx", "A 11751-2023")</f>
        <v/>
      </c>
      <c r="W53">
        <f>HYPERLINK("https://klasma.github.io/Logging_2083/klagomålsmail/A 11751-2023 FSC-klagomål mail.docx", "A 11751-2023")</f>
        <v/>
      </c>
      <c r="X53">
        <f>HYPERLINK("https://klasma.github.io/Logging_2083/tillsyn/A 11751-2023 tillsynsbegäran.docx", "A 11751-2023")</f>
        <v/>
      </c>
      <c r="Y53">
        <f>HYPERLINK("https://klasma.github.io/Logging_2083/tillsynsmail/A 11751-2023 tillsynsbegäran mail.docx", "A 11751-2023")</f>
        <v/>
      </c>
    </row>
    <row r="54" ht="15" customHeight="1">
      <c r="A54" t="inlineStr">
        <is>
          <t>A 13916-2023</t>
        </is>
      </c>
      <c r="B54" s="1" t="n">
        <v>45008</v>
      </c>
      <c r="C54" s="1" t="n">
        <v>45877</v>
      </c>
      <c r="D54" t="inlineStr">
        <is>
          <t>DALARNAS LÄN</t>
        </is>
      </c>
      <c r="E54" t="inlineStr">
        <is>
          <t>HEDEMORA</t>
        </is>
      </c>
      <c r="G54" t="n">
        <v>3.9</v>
      </c>
      <c r="H54" t="n">
        <v>1</v>
      </c>
      <c r="I54" t="n">
        <v>0</v>
      </c>
      <c r="J54" t="n">
        <v>1</v>
      </c>
      <c r="K54" t="n">
        <v>1</v>
      </c>
      <c r="L54" t="n">
        <v>0</v>
      </c>
      <c r="M54" t="n">
        <v>0</v>
      </c>
      <c r="N54" t="n">
        <v>0</v>
      </c>
      <c r="O54" t="n">
        <v>2</v>
      </c>
      <c r="P54" t="n">
        <v>1</v>
      </c>
      <c r="Q54" t="n">
        <v>2</v>
      </c>
      <c r="R54" s="2" t="inlineStr">
        <is>
          <t>Knärot
Skrovlig flatbagge</t>
        </is>
      </c>
      <c r="S54">
        <f>HYPERLINK("https://klasma.github.io/Logging_2083/artfynd/A 13916-2023 artfynd.xlsx", "A 13916-2023")</f>
        <v/>
      </c>
      <c r="T54">
        <f>HYPERLINK("https://klasma.github.io/Logging_2083/kartor/A 13916-2023 karta.png", "A 13916-2023")</f>
        <v/>
      </c>
      <c r="U54">
        <f>HYPERLINK("https://klasma.github.io/Logging_2083/knärot/A 13916-2023 karta knärot.png", "A 13916-2023")</f>
        <v/>
      </c>
      <c r="V54">
        <f>HYPERLINK("https://klasma.github.io/Logging_2083/klagomål/A 13916-2023 FSC-klagomål.docx", "A 13916-2023")</f>
        <v/>
      </c>
      <c r="W54">
        <f>HYPERLINK("https://klasma.github.io/Logging_2083/klagomålsmail/A 13916-2023 FSC-klagomål mail.docx", "A 13916-2023")</f>
        <v/>
      </c>
      <c r="X54">
        <f>HYPERLINK("https://klasma.github.io/Logging_2083/tillsyn/A 13916-2023 tillsynsbegäran.docx", "A 13916-2023")</f>
        <v/>
      </c>
      <c r="Y54">
        <f>HYPERLINK("https://klasma.github.io/Logging_2083/tillsynsmail/A 13916-2023 tillsynsbegäran mail.docx", "A 13916-2023")</f>
        <v/>
      </c>
    </row>
    <row r="55" ht="15" customHeight="1">
      <c r="A55" t="inlineStr">
        <is>
          <t>A 13989-2023</t>
        </is>
      </c>
      <c r="B55" s="1" t="n">
        <v>45008</v>
      </c>
      <c r="C55" s="1" t="n">
        <v>45877</v>
      </c>
      <c r="D55" t="inlineStr">
        <is>
          <t>DALARNAS LÄN</t>
        </is>
      </c>
      <c r="E55" t="inlineStr">
        <is>
          <t>HEDEMORA</t>
        </is>
      </c>
      <c r="G55" t="n">
        <v>1.2</v>
      </c>
      <c r="H55" t="n">
        <v>1</v>
      </c>
      <c r="I55" t="n">
        <v>1</v>
      </c>
      <c r="J55" t="n">
        <v>0</v>
      </c>
      <c r="K55" t="n">
        <v>1</v>
      </c>
      <c r="L55" t="n">
        <v>0</v>
      </c>
      <c r="M55" t="n">
        <v>0</v>
      </c>
      <c r="N55" t="n">
        <v>0</v>
      </c>
      <c r="O55" t="n">
        <v>1</v>
      </c>
      <c r="P55" t="n">
        <v>1</v>
      </c>
      <c r="Q55" t="n">
        <v>2</v>
      </c>
      <c r="R55" s="2" t="inlineStr">
        <is>
          <t>Knärot
Bronshjon</t>
        </is>
      </c>
      <c r="S55">
        <f>HYPERLINK("https://klasma.github.io/Logging_2083/artfynd/A 13989-2023 artfynd.xlsx", "A 13989-2023")</f>
        <v/>
      </c>
      <c r="T55">
        <f>HYPERLINK("https://klasma.github.io/Logging_2083/kartor/A 13989-2023 karta.png", "A 13989-2023")</f>
        <v/>
      </c>
      <c r="U55">
        <f>HYPERLINK("https://klasma.github.io/Logging_2083/knärot/A 13989-2023 karta knärot.png", "A 13989-2023")</f>
        <v/>
      </c>
      <c r="V55">
        <f>HYPERLINK("https://klasma.github.io/Logging_2083/klagomål/A 13989-2023 FSC-klagomål.docx", "A 13989-2023")</f>
        <v/>
      </c>
      <c r="W55">
        <f>HYPERLINK("https://klasma.github.io/Logging_2083/klagomålsmail/A 13989-2023 FSC-klagomål mail.docx", "A 13989-2023")</f>
        <v/>
      </c>
      <c r="X55">
        <f>HYPERLINK("https://klasma.github.io/Logging_2083/tillsyn/A 13989-2023 tillsynsbegäran.docx", "A 13989-2023")</f>
        <v/>
      </c>
      <c r="Y55">
        <f>HYPERLINK("https://klasma.github.io/Logging_2083/tillsynsmail/A 13989-2023 tillsynsbegäran mail.docx", "A 13989-2023")</f>
        <v/>
      </c>
    </row>
    <row r="56" ht="15" customHeight="1">
      <c r="A56" t="inlineStr">
        <is>
          <t>A 30944-2023</t>
        </is>
      </c>
      <c r="B56" s="1" t="n">
        <v>45113</v>
      </c>
      <c r="C56" s="1" t="n">
        <v>45877</v>
      </c>
      <c r="D56" t="inlineStr">
        <is>
          <t>DALARNAS LÄN</t>
        </is>
      </c>
      <c r="E56" t="inlineStr">
        <is>
          <t>HEDEMORA</t>
        </is>
      </c>
      <c r="F56" t="inlineStr">
        <is>
          <t>Sveaskog</t>
        </is>
      </c>
      <c r="G56" t="n">
        <v>5.3</v>
      </c>
      <c r="H56" t="n">
        <v>2</v>
      </c>
      <c r="I56" t="n">
        <v>0</v>
      </c>
      <c r="J56" t="n">
        <v>0</v>
      </c>
      <c r="K56" t="n">
        <v>1</v>
      </c>
      <c r="L56" t="n">
        <v>0</v>
      </c>
      <c r="M56" t="n">
        <v>0</v>
      </c>
      <c r="N56" t="n">
        <v>0</v>
      </c>
      <c r="O56" t="n">
        <v>1</v>
      </c>
      <c r="P56" t="n">
        <v>1</v>
      </c>
      <c r="Q56" t="n">
        <v>2</v>
      </c>
      <c r="R56" s="2" t="inlineStr">
        <is>
          <t>Knärot
Fläcknycklar</t>
        </is>
      </c>
      <c r="S56">
        <f>HYPERLINK("https://klasma.github.io/Logging_2083/artfynd/A 30944-2023 artfynd.xlsx", "A 30944-2023")</f>
        <v/>
      </c>
      <c r="T56">
        <f>HYPERLINK("https://klasma.github.io/Logging_2083/kartor/A 30944-2023 karta.png", "A 30944-2023")</f>
        <v/>
      </c>
      <c r="U56">
        <f>HYPERLINK("https://klasma.github.io/Logging_2083/knärot/A 30944-2023 karta knärot.png", "A 30944-2023")</f>
        <v/>
      </c>
      <c r="V56">
        <f>HYPERLINK("https://klasma.github.io/Logging_2083/klagomål/A 30944-2023 FSC-klagomål.docx", "A 30944-2023")</f>
        <v/>
      </c>
      <c r="W56">
        <f>HYPERLINK("https://klasma.github.io/Logging_2083/klagomålsmail/A 30944-2023 FSC-klagomål mail.docx", "A 30944-2023")</f>
        <v/>
      </c>
      <c r="X56">
        <f>HYPERLINK("https://klasma.github.io/Logging_2083/tillsyn/A 30944-2023 tillsynsbegäran.docx", "A 30944-2023")</f>
        <v/>
      </c>
      <c r="Y56">
        <f>HYPERLINK("https://klasma.github.io/Logging_2083/tillsynsmail/A 30944-2023 tillsynsbegäran mail.docx", "A 30944-2023")</f>
        <v/>
      </c>
    </row>
    <row r="57" ht="15" customHeight="1">
      <c r="A57" t="inlineStr">
        <is>
          <t>A 59035-2023</t>
        </is>
      </c>
      <c r="B57" s="1" t="n">
        <v>45252</v>
      </c>
      <c r="C57" s="1" t="n">
        <v>45877</v>
      </c>
      <c r="D57" t="inlineStr">
        <is>
          <t>DALARNAS LÄN</t>
        </is>
      </c>
      <c r="E57" t="inlineStr">
        <is>
          <t>HEDEMORA</t>
        </is>
      </c>
      <c r="F57" t="inlineStr">
        <is>
          <t>Sveaskog</t>
        </is>
      </c>
      <c r="G57" t="n">
        <v>3.7</v>
      </c>
      <c r="H57" t="n">
        <v>2</v>
      </c>
      <c r="I57" t="n">
        <v>0</v>
      </c>
      <c r="J57" t="n">
        <v>0</v>
      </c>
      <c r="K57" t="n">
        <v>0</v>
      </c>
      <c r="L57" t="n">
        <v>0</v>
      </c>
      <c r="M57" t="n">
        <v>0</v>
      </c>
      <c r="N57" t="n">
        <v>0</v>
      </c>
      <c r="O57" t="n">
        <v>0</v>
      </c>
      <c r="P57" t="n">
        <v>0</v>
      </c>
      <c r="Q57" t="n">
        <v>2</v>
      </c>
      <c r="R57" s="2" t="inlineStr">
        <is>
          <t>Fläcknycklar
Blåsippa</t>
        </is>
      </c>
      <c r="S57">
        <f>HYPERLINK("https://klasma.github.io/Logging_2083/artfynd/A 59035-2023 artfynd.xlsx", "A 59035-2023")</f>
        <v/>
      </c>
      <c r="T57">
        <f>HYPERLINK("https://klasma.github.io/Logging_2083/kartor/A 59035-2023 karta.png", "A 59035-2023")</f>
        <v/>
      </c>
      <c r="U57">
        <f>HYPERLINK("https://klasma.github.io/Logging_2083/knärot/A 59035-2023 karta knärot.png", "A 59035-2023")</f>
        <v/>
      </c>
      <c r="V57">
        <f>HYPERLINK("https://klasma.github.io/Logging_2083/klagomål/A 59035-2023 FSC-klagomål.docx", "A 59035-2023")</f>
        <v/>
      </c>
      <c r="W57">
        <f>HYPERLINK("https://klasma.github.io/Logging_2083/klagomålsmail/A 59035-2023 FSC-klagomål mail.docx", "A 59035-2023")</f>
        <v/>
      </c>
      <c r="X57">
        <f>HYPERLINK("https://klasma.github.io/Logging_2083/tillsyn/A 59035-2023 tillsynsbegäran.docx", "A 59035-2023")</f>
        <v/>
      </c>
      <c r="Y57">
        <f>HYPERLINK("https://klasma.github.io/Logging_2083/tillsynsmail/A 59035-2023 tillsynsbegäran mail.docx", "A 59035-2023")</f>
        <v/>
      </c>
    </row>
    <row r="58" ht="15" customHeight="1">
      <c r="A58" t="inlineStr">
        <is>
          <t>A 64277-2023</t>
        </is>
      </c>
      <c r="B58" s="1" t="n">
        <v>45280</v>
      </c>
      <c r="C58" s="1" t="n">
        <v>45877</v>
      </c>
      <c r="D58" t="inlineStr">
        <is>
          <t>DALARNAS LÄN</t>
        </is>
      </c>
      <c r="E58" t="inlineStr">
        <is>
          <t>HEDEMORA</t>
        </is>
      </c>
      <c r="G58" t="n">
        <v>3.1</v>
      </c>
      <c r="H58" t="n">
        <v>0</v>
      </c>
      <c r="I58" t="n">
        <v>2</v>
      </c>
      <c r="J58" t="n">
        <v>0</v>
      </c>
      <c r="K58" t="n">
        <v>0</v>
      </c>
      <c r="L58" t="n">
        <v>0</v>
      </c>
      <c r="M58" t="n">
        <v>0</v>
      </c>
      <c r="N58" t="n">
        <v>0</v>
      </c>
      <c r="O58" t="n">
        <v>0</v>
      </c>
      <c r="P58" t="n">
        <v>0</v>
      </c>
      <c r="Q58" t="n">
        <v>2</v>
      </c>
      <c r="R58" s="2" t="inlineStr">
        <is>
          <t>Bronshjon
Thomsons trägnagare</t>
        </is>
      </c>
      <c r="S58">
        <f>HYPERLINK("https://klasma.github.io/Logging_2083/artfynd/A 64277-2023 artfynd.xlsx", "A 64277-2023")</f>
        <v/>
      </c>
      <c r="T58">
        <f>HYPERLINK("https://klasma.github.io/Logging_2083/kartor/A 64277-2023 karta.png", "A 64277-2023")</f>
        <v/>
      </c>
      <c r="V58">
        <f>HYPERLINK("https://klasma.github.io/Logging_2083/klagomål/A 64277-2023 FSC-klagomål.docx", "A 64277-2023")</f>
        <v/>
      </c>
      <c r="W58">
        <f>HYPERLINK("https://klasma.github.io/Logging_2083/klagomålsmail/A 64277-2023 FSC-klagomål mail.docx", "A 64277-2023")</f>
        <v/>
      </c>
      <c r="X58">
        <f>HYPERLINK("https://klasma.github.io/Logging_2083/tillsyn/A 64277-2023 tillsynsbegäran.docx", "A 64277-2023")</f>
        <v/>
      </c>
      <c r="Y58">
        <f>HYPERLINK("https://klasma.github.io/Logging_2083/tillsynsmail/A 64277-2023 tillsynsbegäran mail.docx", "A 64277-2023")</f>
        <v/>
      </c>
    </row>
    <row r="59" ht="15" customHeight="1">
      <c r="A59" t="inlineStr">
        <is>
          <t>A 19352-2024</t>
        </is>
      </c>
      <c r="B59" s="1" t="n">
        <v>45429</v>
      </c>
      <c r="C59" s="1" t="n">
        <v>45877</v>
      </c>
      <c r="D59" t="inlineStr">
        <is>
          <t>DALARNAS LÄN</t>
        </is>
      </c>
      <c r="E59" t="inlineStr">
        <is>
          <t>HEDEMORA</t>
        </is>
      </c>
      <c r="F59" t="inlineStr">
        <is>
          <t>Sveaskog</t>
        </is>
      </c>
      <c r="G59" t="n">
        <v>22.6</v>
      </c>
      <c r="H59" t="n">
        <v>1</v>
      </c>
      <c r="I59" t="n">
        <v>0</v>
      </c>
      <c r="J59" t="n">
        <v>1</v>
      </c>
      <c r="K59" t="n">
        <v>0</v>
      </c>
      <c r="L59" t="n">
        <v>0</v>
      </c>
      <c r="M59" t="n">
        <v>0</v>
      </c>
      <c r="N59" t="n">
        <v>0</v>
      </c>
      <c r="O59" t="n">
        <v>1</v>
      </c>
      <c r="P59" t="n">
        <v>0</v>
      </c>
      <c r="Q59" t="n">
        <v>2</v>
      </c>
      <c r="R59" s="2" t="inlineStr">
        <is>
          <t>Ullticka
Blåsippa</t>
        </is>
      </c>
      <c r="S59">
        <f>HYPERLINK("https://klasma.github.io/Logging_2083/artfynd/A 19352-2024 artfynd.xlsx", "A 19352-2024")</f>
        <v/>
      </c>
      <c r="T59">
        <f>HYPERLINK("https://klasma.github.io/Logging_2083/kartor/A 19352-2024 karta.png", "A 19352-2024")</f>
        <v/>
      </c>
      <c r="V59">
        <f>HYPERLINK("https://klasma.github.io/Logging_2083/klagomål/A 19352-2024 FSC-klagomål.docx", "A 19352-2024")</f>
        <v/>
      </c>
      <c r="W59">
        <f>HYPERLINK("https://klasma.github.io/Logging_2083/klagomålsmail/A 19352-2024 FSC-klagomål mail.docx", "A 19352-2024")</f>
        <v/>
      </c>
      <c r="X59">
        <f>HYPERLINK("https://klasma.github.io/Logging_2083/tillsyn/A 19352-2024 tillsynsbegäran.docx", "A 19352-2024")</f>
        <v/>
      </c>
      <c r="Y59">
        <f>HYPERLINK("https://klasma.github.io/Logging_2083/tillsynsmail/A 19352-2024 tillsynsbegäran mail.docx", "A 19352-2024")</f>
        <v/>
      </c>
    </row>
    <row r="60" ht="15" customHeight="1">
      <c r="A60" t="inlineStr">
        <is>
          <t>A 33609-2024</t>
        </is>
      </c>
      <c r="B60" s="1" t="n">
        <v>45520</v>
      </c>
      <c r="C60" s="1" t="n">
        <v>45877</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33609-2024 artfynd.xlsx", "A 33609-2024")</f>
        <v/>
      </c>
      <c r="T60">
        <f>HYPERLINK("https://klasma.github.io/Logging_2083/kartor/A 33609-2024 karta.png", "A 33609-2024")</f>
        <v/>
      </c>
      <c r="U60">
        <f>HYPERLINK("https://klasma.github.io/Logging_2083/knärot/A 33609-2024 karta knärot.png", "A 33609-2024")</f>
        <v/>
      </c>
      <c r="V60">
        <f>HYPERLINK("https://klasma.github.io/Logging_2083/klagomål/A 33609-2024 FSC-klagomål.docx", "A 33609-2024")</f>
        <v/>
      </c>
      <c r="W60">
        <f>HYPERLINK("https://klasma.github.io/Logging_2083/klagomålsmail/A 33609-2024 FSC-klagomål mail.docx", "A 33609-2024")</f>
        <v/>
      </c>
      <c r="X60">
        <f>HYPERLINK("https://klasma.github.io/Logging_2083/tillsyn/A 33609-2024 tillsynsbegäran.docx", "A 33609-2024")</f>
        <v/>
      </c>
      <c r="Y60">
        <f>HYPERLINK("https://klasma.github.io/Logging_2083/tillsynsmail/A 33609-2024 tillsynsbegäran mail.docx", "A 33609-2024")</f>
        <v/>
      </c>
    </row>
    <row r="61" ht="15" customHeight="1">
      <c r="A61" t="inlineStr">
        <is>
          <t>A 42616-2024</t>
        </is>
      </c>
      <c r="B61" s="1" t="n">
        <v>45565</v>
      </c>
      <c r="C61" s="1" t="n">
        <v>45877</v>
      </c>
      <c r="D61" t="inlineStr">
        <is>
          <t>DALARNAS LÄN</t>
        </is>
      </c>
      <c r="E61" t="inlineStr">
        <is>
          <t>HEDEMORA</t>
        </is>
      </c>
      <c r="F61" t="inlineStr">
        <is>
          <t>Sveaskog</t>
        </is>
      </c>
      <c r="G61" t="n">
        <v>5.8</v>
      </c>
      <c r="H61" t="n">
        <v>2</v>
      </c>
      <c r="I61" t="n">
        <v>0</v>
      </c>
      <c r="J61" t="n">
        <v>2</v>
      </c>
      <c r="K61" t="n">
        <v>0</v>
      </c>
      <c r="L61" t="n">
        <v>0</v>
      </c>
      <c r="M61" t="n">
        <v>0</v>
      </c>
      <c r="N61" t="n">
        <v>0</v>
      </c>
      <c r="O61" t="n">
        <v>2</v>
      </c>
      <c r="P61" t="n">
        <v>0</v>
      </c>
      <c r="Q61" t="n">
        <v>2</v>
      </c>
      <c r="R61" s="2" t="inlineStr">
        <is>
          <t>Spillkråka
Talltita</t>
        </is>
      </c>
      <c r="S61">
        <f>HYPERLINK("https://klasma.github.io/Logging_2083/artfynd/A 42616-2024 artfynd.xlsx", "A 42616-2024")</f>
        <v/>
      </c>
      <c r="T61">
        <f>HYPERLINK("https://klasma.github.io/Logging_2083/kartor/A 42616-2024 karta.png", "A 42616-2024")</f>
        <v/>
      </c>
      <c r="V61">
        <f>HYPERLINK("https://klasma.github.io/Logging_2083/klagomål/A 42616-2024 FSC-klagomål.docx", "A 42616-2024")</f>
        <v/>
      </c>
      <c r="W61">
        <f>HYPERLINK("https://klasma.github.io/Logging_2083/klagomålsmail/A 42616-2024 FSC-klagomål mail.docx", "A 42616-2024")</f>
        <v/>
      </c>
      <c r="X61">
        <f>HYPERLINK("https://klasma.github.io/Logging_2083/tillsyn/A 42616-2024 tillsynsbegäran.docx", "A 42616-2024")</f>
        <v/>
      </c>
      <c r="Y61">
        <f>HYPERLINK("https://klasma.github.io/Logging_2083/tillsynsmail/A 42616-2024 tillsynsbegäran mail.docx", "A 42616-2024")</f>
        <v/>
      </c>
      <c r="Z61">
        <f>HYPERLINK("https://klasma.github.io/Logging_2083/fåglar/A 42616-2024 prioriterade fågelarter.docx", "A 42616-2024")</f>
        <v/>
      </c>
    </row>
    <row r="62" ht="15" customHeight="1">
      <c r="A62" t="inlineStr">
        <is>
          <t>A 56625-2024</t>
        </is>
      </c>
      <c r="B62" s="1" t="n">
        <v>45625</v>
      </c>
      <c r="C62" s="1" t="n">
        <v>45877</v>
      </c>
      <c r="D62" t="inlineStr">
        <is>
          <t>DALARNAS LÄN</t>
        </is>
      </c>
      <c r="E62" t="inlineStr">
        <is>
          <t>HEDEMORA</t>
        </is>
      </c>
      <c r="F62" t="inlineStr">
        <is>
          <t>Sveaskog</t>
        </is>
      </c>
      <c r="G62" t="n">
        <v>16.8</v>
      </c>
      <c r="H62" t="n">
        <v>1</v>
      </c>
      <c r="I62" t="n">
        <v>1</v>
      </c>
      <c r="J62" t="n">
        <v>0</v>
      </c>
      <c r="K62" t="n">
        <v>1</v>
      </c>
      <c r="L62" t="n">
        <v>0</v>
      </c>
      <c r="M62" t="n">
        <v>0</v>
      </c>
      <c r="N62" t="n">
        <v>0</v>
      </c>
      <c r="O62" t="n">
        <v>1</v>
      </c>
      <c r="P62" t="n">
        <v>1</v>
      </c>
      <c r="Q62" t="n">
        <v>2</v>
      </c>
      <c r="R62" s="2" t="inlineStr">
        <is>
          <t>Knärot
Dropptaggsvamp</t>
        </is>
      </c>
      <c r="S62">
        <f>HYPERLINK("https://klasma.github.io/Logging_2083/artfynd/A 56625-2024 artfynd.xlsx", "A 56625-2024")</f>
        <v/>
      </c>
      <c r="T62">
        <f>HYPERLINK("https://klasma.github.io/Logging_2083/kartor/A 56625-2024 karta.png", "A 56625-2024")</f>
        <v/>
      </c>
      <c r="U62">
        <f>HYPERLINK("https://klasma.github.io/Logging_2083/knärot/A 56625-2024 karta knärot.png", "A 56625-2024")</f>
        <v/>
      </c>
      <c r="V62">
        <f>HYPERLINK("https://klasma.github.io/Logging_2083/klagomål/A 56625-2024 FSC-klagomål.docx", "A 56625-2024")</f>
        <v/>
      </c>
      <c r="W62">
        <f>HYPERLINK("https://klasma.github.io/Logging_2083/klagomålsmail/A 56625-2024 FSC-klagomål mail.docx", "A 56625-2024")</f>
        <v/>
      </c>
      <c r="X62">
        <f>HYPERLINK("https://klasma.github.io/Logging_2083/tillsyn/A 56625-2024 tillsynsbegäran.docx", "A 56625-2024")</f>
        <v/>
      </c>
      <c r="Y62">
        <f>HYPERLINK("https://klasma.github.io/Logging_2083/tillsynsmail/A 56625-2024 tillsynsbegäran mail.docx", "A 56625-2024")</f>
        <v/>
      </c>
    </row>
    <row r="63" ht="15" customHeight="1">
      <c r="A63" t="inlineStr">
        <is>
          <t>A 451-2025</t>
        </is>
      </c>
      <c r="B63" s="1" t="n">
        <v>45664</v>
      </c>
      <c r="C63" s="1" t="n">
        <v>45877</v>
      </c>
      <c r="D63" t="inlineStr">
        <is>
          <t>DALARNAS LÄN</t>
        </is>
      </c>
      <c r="E63" t="inlineStr">
        <is>
          <t>HEDEMORA</t>
        </is>
      </c>
      <c r="G63" t="n">
        <v>4.5</v>
      </c>
      <c r="H63" t="n">
        <v>2</v>
      </c>
      <c r="I63" t="n">
        <v>0</v>
      </c>
      <c r="J63" t="n">
        <v>1</v>
      </c>
      <c r="K63" t="n">
        <v>1</v>
      </c>
      <c r="L63" t="n">
        <v>0</v>
      </c>
      <c r="M63" t="n">
        <v>0</v>
      </c>
      <c r="N63" t="n">
        <v>0</v>
      </c>
      <c r="O63" t="n">
        <v>2</v>
      </c>
      <c r="P63" t="n">
        <v>1</v>
      </c>
      <c r="Q63" t="n">
        <v>2</v>
      </c>
      <c r="R63" s="2" t="inlineStr">
        <is>
          <t>Knärot
Spillkråka</t>
        </is>
      </c>
      <c r="S63">
        <f>HYPERLINK("https://klasma.github.io/Logging_2083/artfynd/A 451-2025 artfynd.xlsx", "A 451-2025")</f>
        <v/>
      </c>
      <c r="T63">
        <f>HYPERLINK("https://klasma.github.io/Logging_2083/kartor/A 451-2025 karta.png", "A 451-2025")</f>
        <v/>
      </c>
      <c r="U63">
        <f>HYPERLINK("https://klasma.github.io/Logging_2083/knärot/A 451-2025 karta knärot.png", "A 451-2025")</f>
        <v/>
      </c>
      <c r="V63">
        <f>HYPERLINK("https://klasma.github.io/Logging_2083/klagomål/A 451-2025 FSC-klagomål.docx", "A 451-2025")</f>
        <v/>
      </c>
      <c r="W63">
        <f>HYPERLINK("https://klasma.github.io/Logging_2083/klagomålsmail/A 451-2025 FSC-klagomål mail.docx", "A 451-2025")</f>
        <v/>
      </c>
      <c r="X63">
        <f>HYPERLINK("https://klasma.github.io/Logging_2083/tillsyn/A 451-2025 tillsynsbegäran.docx", "A 451-2025")</f>
        <v/>
      </c>
      <c r="Y63">
        <f>HYPERLINK("https://klasma.github.io/Logging_2083/tillsynsmail/A 451-2025 tillsynsbegäran mail.docx", "A 451-2025")</f>
        <v/>
      </c>
      <c r="Z63">
        <f>HYPERLINK("https://klasma.github.io/Logging_2083/fåglar/A 451-2025 prioriterade fågelarter.docx", "A 451-2025")</f>
        <v/>
      </c>
    </row>
    <row r="64" ht="15" customHeight="1">
      <c r="A64" t="inlineStr">
        <is>
          <t>A 1518-2025</t>
        </is>
      </c>
      <c r="B64" s="1" t="n">
        <v>45670</v>
      </c>
      <c r="C64" s="1" t="n">
        <v>45877</v>
      </c>
      <c r="D64" t="inlineStr">
        <is>
          <t>DALARNAS LÄN</t>
        </is>
      </c>
      <c r="E64" t="inlineStr">
        <is>
          <t>HEDEMORA</t>
        </is>
      </c>
      <c r="G64" t="n">
        <v>3.8</v>
      </c>
      <c r="H64" t="n">
        <v>1</v>
      </c>
      <c r="I64" t="n">
        <v>0</v>
      </c>
      <c r="J64" t="n">
        <v>1</v>
      </c>
      <c r="K64" t="n">
        <v>1</v>
      </c>
      <c r="L64" t="n">
        <v>0</v>
      </c>
      <c r="M64" t="n">
        <v>0</v>
      </c>
      <c r="N64" t="n">
        <v>0</v>
      </c>
      <c r="O64" t="n">
        <v>2</v>
      </c>
      <c r="P64" t="n">
        <v>1</v>
      </c>
      <c r="Q64" t="n">
        <v>2</v>
      </c>
      <c r="R64" s="2" t="inlineStr">
        <is>
          <t>Knärot
Ullticka</t>
        </is>
      </c>
      <c r="S64">
        <f>HYPERLINK("https://klasma.github.io/Logging_2083/artfynd/A 1518-2025 artfynd.xlsx", "A 1518-2025")</f>
        <v/>
      </c>
      <c r="T64">
        <f>HYPERLINK("https://klasma.github.io/Logging_2083/kartor/A 1518-2025 karta.png", "A 1518-2025")</f>
        <v/>
      </c>
      <c r="U64">
        <f>HYPERLINK("https://klasma.github.io/Logging_2083/knärot/A 1518-2025 karta knärot.png", "A 1518-2025")</f>
        <v/>
      </c>
      <c r="V64">
        <f>HYPERLINK("https://klasma.github.io/Logging_2083/klagomål/A 1518-2025 FSC-klagomål.docx", "A 1518-2025")</f>
        <v/>
      </c>
      <c r="W64">
        <f>HYPERLINK("https://klasma.github.io/Logging_2083/klagomålsmail/A 1518-2025 FSC-klagomål mail.docx", "A 1518-2025")</f>
        <v/>
      </c>
      <c r="X64">
        <f>HYPERLINK("https://klasma.github.io/Logging_2083/tillsyn/A 1518-2025 tillsynsbegäran.docx", "A 1518-2025")</f>
        <v/>
      </c>
      <c r="Y64">
        <f>HYPERLINK("https://klasma.github.io/Logging_2083/tillsynsmail/A 1518-2025 tillsynsbegäran mail.docx", "A 1518-2025")</f>
        <v/>
      </c>
    </row>
    <row r="65" ht="15" customHeight="1">
      <c r="A65" t="inlineStr">
        <is>
          <t>A 8494-2020</t>
        </is>
      </c>
      <c r="B65" s="1" t="n">
        <v>43875</v>
      </c>
      <c r="C65" s="1" t="n">
        <v>45877</v>
      </c>
      <c r="D65" t="inlineStr">
        <is>
          <t>DALARNAS LÄN</t>
        </is>
      </c>
      <c r="E65" t="inlineStr">
        <is>
          <t>HEDEMORA</t>
        </is>
      </c>
      <c r="G65" t="n">
        <v>11</v>
      </c>
      <c r="H65" t="n">
        <v>1</v>
      </c>
      <c r="I65" t="n">
        <v>0</v>
      </c>
      <c r="J65" t="n">
        <v>0</v>
      </c>
      <c r="K65" t="n">
        <v>1</v>
      </c>
      <c r="L65" t="n">
        <v>0</v>
      </c>
      <c r="M65" t="n">
        <v>0</v>
      </c>
      <c r="N65" t="n">
        <v>0</v>
      </c>
      <c r="O65" t="n">
        <v>1</v>
      </c>
      <c r="P65" t="n">
        <v>1</v>
      </c>
      <c r="Q65" t="n">
        <v>1</v>
      </c>
      <c r="R65" s="2" t="inlineStr">
        <is>
          <t>Knärot</t>
        </is>
      </c>
      <c r="S65">
        <f>HYPERLINK("https://klasma.github.io/Logging_2083/artfynd/A 8494-2020 artfynd.xlsx", "A 8494-2020")</f>
        <v/>
      </c>
      <c r="T65">
        <f>HYPERLINK("https://klasma.github.io/Logging_2083/kartor/A 8494-2020 karta.png", "A 8494-2020")</f>
        <v/>
      </c>
      <c r="U65">
        <f>HYPERLINK("https://klasma.github.io/Logging_2083/knärot/A 8494-2020 karta knärot.png", "A 8494-2020")</f>
        <v/>
      </c>
      <c r="V65">
        <f>HYPERLINK("https://klasma.github.io/Logging_2083/klagomål/A 8494-2020 FSC-klagomål.docx", "A 8494-2020")</f>
        <v/>
      </c>
      <c r="W65">
        <f>HYPERLINK("https://klasma.github.io/Logging_2083/klagomålsmail/A 8494-2020 FSC-klagomål mail.docx", "A 8494-2020")</f>
        <v/>
      </c>
      <c r="X65">
        <f>HYPERLINK("https://klasma.github.io/Logging_2083/tillsyn/A 8494-2020 tillsynsbegäran.docx", "A 8494-2020")</f>
        <v/>
      </c>
      <c r="Y65">
        <f>HYPERLINK("https://klasma.github.io/Logging_2083/tillsynsmail/A 8494-2020 tillsynsbegäran mail.docx", "A 8494-2020")</f>
        <v/>
      </c>
    </row>
    <row r="66" ht="15" customHeight="1">
      <c r="A66" t="inlineStr">
        <is>
          <t>A 9058-2020</t>
        </is>
      </c>
      <c r="B66" s="1" t="n">
        <v>43879</v>
      </c>
      <c r="C66" s="1" t="n">
        <v>45877</v>
      </c>
      <c r="D66" t="inlineStr">
        <is>
          <t>DALARNAS LÄN</t>
        </is>
      </c>
      <c r="E66" t="inlineStr">
        <is>
          <t>HEDEMORA</t>
        </is>
      </c>
      <c r="G66" t="n">
        <v>0.5</v>
      </c>
      <c r="H66" t="n">
        <v>0</v>
      </c>
      <c r="I66" t="n">
        <v>1</v>
      </c>
      <c r="J66" t="n">
        <v>0</v>
      </c>
      <c r="K66" t="n">
        <v>0</v>
      </c>
      <c r="L66" t="n">
        <v>0</v>
      </c>
      <c r="M66" t="n">
        <v>0</v>
      </c>
      <c r="N66" t="n">
        <v>0</v>
      </c>
      <c r="O66" t="n">
        <v>0</v>
      </c>
      <c r="P66" t="n">
        <v>0</v>
      </c>
      <c r="Q66" t="n">
        <v>1</v>
      </c>
      <c r="R66" s="2" t="inlineStr">
        <is>
          <t>Tibast</t>
        </is>
      </c>
      <c r="S66">
        <f>HYPERLINK("https://klasma.github.io/Logging_2083/artfynd/A 9058-2020 artfynd.xlsx", "A 9058-2020")</f>
        <v/>
      </c>
      <c r="T66">
        <f>HYPERLINK("https://klasma.github.io/Logging_2083/kartor/A 9058-2020 karta.png", "A 9058-2020")</f>
        <v/>
      </c>
      <c r="V66">
        <f>HYPERLINK("https://klasma.github.io/Logging_2083/klagomål/A 9058-2020 FSC-klagomål.docx", "A 9058-2020")</f>
        <v/>
      </c>
      <c r="W66">
        <f>HYPERLINK("https://klasma.github.io/Logging_2083/klagomålsmail/A 9058-2020 FSC-klagomål mail.docx", "A 9058-2020")</f>
        <v/>
      </c>
      <c r="X66">
        <f>HYPERLINK("https://klasma.github.io/Logging_2083/tillsyn/A 9058-2020 tillsynsbegäran.docx", "A 9058-2020")</f>
        <v/>
      </c>
      <c r="Y66">
        <f>HYPERLINK("https://klasma.github.io/Logging_2083/tillsynsmail/A 9058-2020 tillsynsbegäran mail.docx", "A 9058-2020")</f>
        <v/>
      </c>
    </row>
    <row r="67" ht="15" customHeight="1">
      <c r="A67" t="inlineStr">
        <is>
          <t>A 9056-2020</t>
        </is>
      </c>
      <c r="B67" s="1" t="n">
        <v>43879</v>
      </c>
      <c r="C67" s="1" t="n">
        <v>45877</v>
      </c>
      <c r="D67" t="inlineStr">
        <is>
          <t>DALARNAS LÄN</t>
        </is>
      </c>
      <c r="E67" t="inlineStr">
        <is>
          <t>HEDEMORA</t>
        </is>
      </c>
      <c r="G67" t="n">
        <v>1.4</v>
      </c>
      <c r="H67" t="n">
        <v>0</v>
      </c>
      <c r="I67" t="n">
        <v>0</v>
      </c>
      <c r="J67" t="n">
        <v>1</v>
      </c>
      <c r="K67" t="n">
        <v>0</v>
      </c>
      <c r="L67" t="n">
        <v>0</v>
      </c>
      <c r="M67" t="n">
        <v>0</v>
      </c>
      <c r="N67" t="n">
        <v>0</v>
      </c>
      <c r="O67" t="n">
        <v>1</v>
      </c>
      <c r="P67" t="n">
        <v>0</v>
      </c>
      <c r="Q67" t="n">
        <v>1</v>
      </c>
      <c r="R67" s="2" t="inlineStr">
        <is>
          <t>Garnlav</t>
        </is>
      </c>
      <c r="S67">
        <f>HYPERLINK("https://klasma.github.io/Logging_2083/artfynd/A 9056-2020 artfynd.xlsx", "A 9056-2020")</f>
        <v/>
      </c>
      <c r="T67">
        <f>HYPERLINK("https://klasma.github.io/Logging_2083/kartor/A 9056-2020 karta.png", "A 9056-2020")</f>
        <v/>
      </c>
      <c r="V67">
        <f>HYPERLINK("https://klasma.github.io/Logging_2083/klagomål/A 9056-2020 FSC-klagomål.docx", "A 9056-2020")</f>
        <v/>
      </c>
      <c r="W67">
        <f>HYPERLINK("https://klasma.github.io/Logging_2083/klagomålsmail/A 9056-2020 FSC-klagomål mail.docx", "A 9056-2020")</f>
        <v/>
      </c>
      <c r="X67">
        <f>HYPERLINK("https://klasma.github.io/Logging_2083/tillsyn/A 9056-2020 tillsynsbegäran.docx", "A 9056-2020")</f>
        <v/>
      </c>
      <c r="Y67">
        <f>HYPERLINK("https://klasma.github.io/Logging_2083/tillsynsmail/A 9056-2020 tillsynsbegäran mail.docx", "A 9056-2020")</f>
        <v/>
      </c>
    </row>
    <row r="68" ht="15" customHeight="1">
      <c r="A68" t="inlineStr">
        <is>
          <t>A 11129-2020</t>
        </is>
      </c>
      <c r="B68" s="1" t="n">
        <v>43889</v>
      </c>
      <c r="C68" s="1" t="n">
        <v>45877</v>
      </c>
      <c r="D68" t="inlineStr">
        <is>
          <t>DALARNAS LÄN</t>
        </is>
      </c>
      <c r="E68" t="inlineStr">
        <is>
          <t>HEDEMORA</t>
        </is>
      </c>
      <c r="G68" t="n">
        <v>2.1</v>
      </c>
      <c r="H68" t="n">
        <v>0</v>
      </c>
      <c r="I68" t="n">
        <v>1</v>
      </c>
      <c r="J68" t="n">
        <v>0</v>
      </c>
      <c r="K68" t="n">
        <v>0</v>
      </c>
      <c r="L68" t="n">
        <v>0</v>
      </c>
      <c r="M68" t="n">
        <v>0</v>
      </c>
      <c r="N68" t="n">
        <v>0</v>
      </c>
      <c r="O68" t="n">
        <v>0</v>
      </c>
      <c r="P68" t="n">
        <v>0</v>
      </c>
      <c r="Q68" t="n">
        <v>1</v>
      </c>
      <c r="R68" s="2" t="inlineStr">
        <is>
          <t>Bollvitmossa</t>
        </is>
      </c>
      <c r="S68">
        <f>HYPERLINK("https://klasma.github.io/Logging_2083/artfynd/A 11129-2020 artfynd.xlsx", "A 11129-2020")</f>
        <v/>
      </c>
      <c r="T68">
        <f>HYPERLINK("https://klasma.github.io/Logging_2083/kartor/A 11129-2020 karta.png", "A 11129-2020")</f>
        <v/>
      </c>
      <c r="V68">
        <f>HYPERLINK("https://klasma.github.io/Logging_2083/klagomål/A 11129-2020 FSC-klagomål.docx", "A 11129-2020")</f>
        <v/>
      </c>
      <c r="W68">
        <f>HYPERLINK("https://klasma.github.io/Logging_2083/klagomålsmail/A 11129-2020 FSC-klagomål mail.docx", "A 11129-2020")</f>
        <v/>
      </c>
      <c r="X68">
        <f>HYPERLINK("https://klasma.github.io/Logging_2083/tillsyn/A 11129-2020 tillsynsbegäran.docx", "A 11129-2020")</f>
        <v/>
      </c>
      <c r="Y68">
        <f>HYPERLINK("https://klasma.github.io/Logging_2083/tillsynsmail/A 11129-2020 tillsynsbegäran mail.docx", "A 11129-2020")</f>
        <v/>
      </c>
    </row>
    <row r="69" ht="15" customHeight="1">
      <c r="A69" t="inlineStr">
        <is>
          <t>A 17882-2020</t>
        </is>
      </c>
      <c r="B69" s="1" t="n">
        <v>43924</v>
      </c>
      <c r="C69" s="1" t="n">
        <v>45877</v>
      </c>
      <c r="D69" t="inlineStr">
        <is>
          <t>DALARNAS LÄN</t>
        </is>
      </c>
      <c r="E69" t="inlineStr">
        <is>
          <t>HEDEMORA</t>
        </is>
      </c>
      <c r="G69" t="n">
        <v>9.300000000000001</v>
      </c>
      <c r="H69" t="n">
        <v>1</v>
      </c>
      <c r="I69" t="n">
        <v>0</v>
      </c>
      <c r="J69" t="n">
        <v>0</v>
      </c>
      <c r="K69" t="n">
        <v>0</v>
      </c>
      <c r="L69" t="n">
        <v>0</v>
      </c>
      <c r="M69" t="n">
        <v>0</v>
      </c>
      <c r="N69" t="n">
        <v>0</v>
      </c>
      <c r="O69" t="n">
        <v>0</v>
      </c>
      <c r="P69" t="n">
        <v>0</v>
      </c>
      <c r="Q69" t="n">
        <v>1</v>
      </c>
      <c r="R69" s="2" t="inlineStr">
        <is>
          <t>Tjäder</t>
        </is>
      </c>
      <c r="S69">
        <f>HYPERLINK("https://klasma.github.io/Logging_2083/artfynd/A 17882-2020 artfynd.xlsx", "A 17882-2020")</f>
        <v/>
      </c>
      <c r="T69">
        <f>HYPERLINK("https://klasma.github.io/Logging_2083/kartor/A 17882-2020 karta.png", "A 17882-2020")</f>
        <v/>
      </c>
      <c r="V69">
        <f>HYPERLINK("https://klasma.github.io/Logging_2083/klagomål/A 17882-2020 FSC-klagomål.docx", "A 17882-2020")</f>
        <v/>
      </c>
      <c r="W69">
        <f>HYPERLINK("https://klasma.github.io/Logging_2083/klagomålsmail/A 17882-2020 FSC-klagomål mail.docx", "A 17882-2020")</f>
        <v/>
      </c>
      <c r="X69">
        <f>HYPERLINK("https://klasma.github.io/Logging_2083/tillsyn/A 17882-2020 tillsynsbegäran.docx", "A 17882-2020")</f>
        <v/>
      </c>
      <c r="Y69">
        <f>HYPERLINK("https://klasma.github.io/Logging_2083/tillsynsmail/A 17882-2020 tillsynsbegäran mail.docx", "A 17882-2020")</f>
        <v/>
      </c>
      <c r="Z69">
        <f>HYPERLINK("https://klasma.github.io/Logging_2083/fåglar/A 17882-2020 prioriterade fågelarter.docx", "A 17882-2020")</f>
        <v/>
      </c>
    </row>
    <row r="70" ht="15" customHeight="1">
      <c r="A70" t="inlineStr">
        <is>
          <t>A 24759-2020</t>
        </is>
      </c>
      <c r="B70" s="1" t="n">
        <v>43978</v>
      </c>
      <c r="C70" s="1" t="n">
        <v>45877</v>
      </c>
      <c r="D70" t="inlineStr">
        <is>
          <t>DALARNAS LÄN</t>
        </is>
      </c>
      <c r="E70" t="inlineStr">
        <is>
          <t>HEDEMORA</t>
        </is>
      </c>
      <c r="F70" t="inlineStr">
        <is>
          <t>Sveaskog</t>
        </is>
      </c>
      <c r="G70" t="n">
        <v>9.699999999999999</v>
      </c>
      <c r="H70" t="n">
        <v>1</v>
      </c>
      <c r="I70" t="n">
        <v>0</v>
      </c>
      <c r="J70" t="n">
        <v>0</v>
      </c>
      <c r="K70" t="n">
        <v>0</v>
      </c>
      <c r="L70" t="n">
        <v>0</v>
      </c>
      <c r="M70" t="n">
        <v>0</v>
      </c>
      <c r="N70" t="n">
        <v>0</v>
      </c>
      <c r="O70" t="n">
        <v>0</v>
      </c>
      <c r="P70" t="n">
        <v>0</v>
      </c>
      <c r="Q70" t="n">
        <v>1</v>
      </c>
      <c r="R70" s="2" t="inlineStr">
        <is>
          <t>Orre</t>
        </is>
      </c>
      <c r="S70">
        <f>HYPERLINK("https://klasma.github.io/Logging_2083/artfynd/A 24759-2020 artfynd.xlsx", "A 24759-2020")</f>
        <v/>
      </c>
      <c r="T70">
        <f>HYPERLINK("https://klasma.github.io/Logging_2083/kartor/A 24759-2020 karta.png", "A 24759-2020")</f>
        <v/>
      </c>
      <c r="V70">
        <f>HYPERLINK("https://klasma.github.io/Logging_2083/klagomål/A 24759-2020 FSC-klagomål.docx", "A 24759-2020")</f>
        <v/>
      </c>
      <c r="W70">
        <f>HYPERLINK("https://klasma.github.io/Logging_2083/klagomålsmail/A 24759-2020 FSC-klagomål mail.docx", "A 24759-2020")</f>
        <v/>
      </c>
      <c r="X70">
        <f>HYPERLINK("https://klasma.github.io/Logging_2083/tillsyn/A 24759-2020 tillsynsbegäran.docx", "A 24759-2020")</f>
        <v/>
      </c>
      <c r="Y70">
        <f>HYPERLINK("https://klasma.github.io/Logging_2083/tillsynsmail/A 24759-2020 tillsynsbegäran mail.docx", "A 24759-2020")</f>
        <v/>
      </c>
      <c r="Z70">
        <f>HYPERLINK("https://klasma.github.io/Logging_2083/fåglar/A 24759-2020 prioriterade fågelarter.docx", "A 24759-2020")</f>
        <v/>
      </c>
    </row>
    <row r="71" ht="15" customHeight="1">
      <c r="A71" t="inlineStr">
        <is>
          <t>A 49767-2020</t>
        </is>
      </c>
      <c r="B71" s="1" t="n">
        <v>44106</v>
      </c>
      <c r="C71" s="1" t="n">
        <v>45877</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45877</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45877</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45877</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45877</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45877</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45877</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45877</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45877</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45877</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45877</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45877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45877</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45877</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45877</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45877</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45877</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45877</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45877</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45877</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45877</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45877</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45877</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45877</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45877</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45877</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45877</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45877</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45877</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45877</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45877</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45877</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45877</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45877</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45877</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45877</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45877</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45877</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45877</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45877</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45877</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45877</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45877</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45877</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45877</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45877</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45877</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45877</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45877</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45877</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45877</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45877</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45877</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45877</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45877</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45877</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45877</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45877</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45877</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45877</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45877</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45877</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45877</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45877</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45877</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45877</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45877</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45877</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45877</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45877</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45877</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45877</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45877</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45877</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45877</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45877</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45877</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45877</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45877</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45877</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45877</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45877</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45877</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45877</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45877</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45877</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45877</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45877</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45877</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45877</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45877</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45877</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45877</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45877</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45877</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45877</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45877</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45877</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45877</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45877</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45877</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45877</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45877</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45877</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45877</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45877</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45877</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45877</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45877</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45877</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45877</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45877</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45877</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45877</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45877</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45877</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45877</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45877</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45877</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45877</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45877</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45877</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45877</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45877</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45877</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45877</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45877</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45877</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45877</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45877</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45877</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45877</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45877</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45877</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45877</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45877</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45877</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45877</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45877</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45877</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45877</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45877</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45877</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45877</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45877</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45877</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45877</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45877</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45877</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45877</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45877</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45877</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45877</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45877</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45877</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45877</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45877</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45877</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45877</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45877</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45877</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45877</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45877</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45877</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45877</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45877</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45877</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45877</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45877</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45877</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45877</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45877</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45877</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45877</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45877</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45877</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45877</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45877</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45877</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45877</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45877</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45877</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45877</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45877</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45877</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45877</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45877</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45877</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45877</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45877</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45877</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45877</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45877</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45877</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45877</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45877</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45877</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45877</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45877</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45877</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45877</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45877</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45877</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45877</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45877</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45877</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45877</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45877</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45877</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45877</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45877</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45877</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45877</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45877</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45877</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45877</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45877</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45877</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45877</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45877</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45877</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45877</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45877</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45877</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45877</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45877</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45877</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45877</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45877</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45877</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45877</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45877</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45877</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45877</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45877</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45877</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45877</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45877</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45877</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45877</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45877</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45877</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45877</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45877</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45877</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45877</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45877</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45877</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45877</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45877</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45877</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45877</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45877</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45877</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45877</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45877</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45877</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45877</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45877</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45877</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45877</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45877</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45877</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45877</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45877</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45877</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45877</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45877</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45877</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45877</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45877</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45877</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45877</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45877</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45877</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45877</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45877</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45877</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45877</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45877</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45877</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45877</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45877</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45877</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45877</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45877</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45877</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45877</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45877</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45877</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45877</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45877</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45877</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45877</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45877</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45877</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45877</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45877</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45877</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45877</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45877</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45877</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45877</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45877</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45877</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45877</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45877</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45877</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45877</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45877</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45877</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45877</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45877</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45877</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45877</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45877</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45877</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45877</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45877</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45877</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45877</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45877</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45877</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45877</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45877</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45877</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45877</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45877</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45877</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45877</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45877</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45877</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45877</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45877</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45877</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45877</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45877</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45877</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45877</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45877</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45877</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45877</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45877</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45877</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45877</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45877</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45877</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45877</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45877</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45877</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45877</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45877</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45877</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45877</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45877</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45877</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45877</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45877</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45877</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45877</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45877</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45877</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45877</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45877</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45877</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45877</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45877</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45877</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45877</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45877</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45877</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45877</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45877</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45877</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45877</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45877</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45877</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45877</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45877</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45877</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45877</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45877</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45877</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45877</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45877</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45877</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45877</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45877</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45877</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45877</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45877</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45877</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45877</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45877</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45877</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45877</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45877</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45877</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45877</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45877</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45877</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45877</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45877</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45877</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45877</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45877</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45877</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45877</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45877</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45877</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45877</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45877</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45877</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45877</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45877</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45877</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45877</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45877</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45877</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45877</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45877</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45877</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45877</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45877</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45877</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45877</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45877</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45877</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45877</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45877</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45877</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45877</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45877</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45877</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45877</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45877</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45877</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45877</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45877</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45877</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45877</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45877</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45877</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45877</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45877</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45877</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45877</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45877</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45877</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45877</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45877</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45877</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45877</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45877</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45877</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45877</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45877</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45877</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45877</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45877</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45877</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45877</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45877</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45877</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45877</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45877</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45877</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45877</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45877</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45877</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45877</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45877</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45877</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45877</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45877</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45877</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45877</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45877</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45877</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45877</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45877</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45877</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45877</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45877</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45877</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45877</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45877</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45877</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45877</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45877</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45877</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45877</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45877</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45877</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45877</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45877</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45877</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45877</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45877</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45877</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45877</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45877</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45877</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45877</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45877</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45877</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45877</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45877</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45877</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45877</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45877</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45877</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45877</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45877</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45877</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45877</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45877</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45877</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45877</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45877</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45877</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45877</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45877</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45877</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45877</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45877</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45877</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45877</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45877</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45877</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45877</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45877</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45877</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45877</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45877</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45877</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45877</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45877</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45877</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45877</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45877</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45877</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45877</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45877</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45877</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45877</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45877</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45877</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45877</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45877</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45877</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45877</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45877</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45877</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45877</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45877</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45877</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45877</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45877</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45877</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45877</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45877</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45877</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45877</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45877</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45877</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45877</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45877</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45877</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45877</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45877</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45877</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45877</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45877</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45877</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45877</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45877</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45877</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45877</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45877</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45877</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45877</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45877</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45877</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45877</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45877</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45877</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45877</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45877</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45877</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45877</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45877</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45877</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45877</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45877</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45877</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45877</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45877</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45877</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45877</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45877</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45877</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45877</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45877</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45877</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45877</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45877</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45877</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45877</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45877</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45877</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45877</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45877</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45877</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45877</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45877</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45877</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45877</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45877</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45877</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45877</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45877</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45877</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45877</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45877</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45877</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45877</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45877</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45877</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45877</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45877</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45877</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45877</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45877</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45877</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45877</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45877</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45877</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45877</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45877</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45877</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45877</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45877</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45877</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45877</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45877</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45877</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45877</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45877</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45877</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45877</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45877</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45877</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45877</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45877</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45877</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45877</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45877</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45877</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45877</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45877</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45877</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45877</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45877</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45877</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45877</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45877</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45877</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45877</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45877</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45877</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45877</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45877</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45877</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33286-2025</t>
        </is>
      </c>
      <c r="B745" s="1" t="n">
        <v>45840</v>
      </c>
      <c r="C745" s="1" t="n">
        <v>45877</v>
      </c>
      <c r="D745" t="inlineStr">
        <is>
          <t>DALARNAS LÄN</t>
        </is>
      </c>
      <c r="E745" t="inlineStr">
        <is>
          <t>HEDEMORA</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33009-2025</t>
        </is>
      </c>
      <c r="B746" s="1" t="n">
        <v>45840</v>
      </c>
      <c r="C746" s="1" t="n">
        <v>45877</v>
      </c>
      <c r="D746" t="inlineStr">
        <is>
          <t>DALARNAS LÄN</t>
        </is>
      </c>
      <c r="E746" t="inlineStr">
        <is>
          <t>HEDEMORA</t>
        </is>
      </c>
      <c r="F746" t="inlineStr">
        <is>
          <t>Kyrkan</t>
        </is>
      </c>
      <c r="G746" t="n">
        <v>7.6</v>
      </c>
      <c r="H746" t="n">
        <v>0</v>
      </c>
      <c r="I746" t="n">
        <v>0</v>
      </c>
      <c r="J746" t="n">
        <v>0</v>
      </c>
      <c r="K746" t="n">
        <v>0</v>
      </c>
      <c r="L746" t="n">
        <v>0</v>
      </c>
      <c r="M746" t="n">
        <v>0</v>
      </c>
      <c r="N746" t="n">
        <v>0</v>
      </c>
      <c r="O746" t="n">
        <v>0</v>
      </c>
      <c r="P746" t="n">
        <v>0</v>
      </c>
      <c r="Q746" t="n">
        <v>0</v>
      </c>
      <c r="R746" s="2" t="inlineStr"/>
    </row>
    <row r="747" ht="15" customHeight="1">
      <c r="A747" t="inlineStr">
        <is>
          <t>A 33287-2025</t>
        </is>
      </c>
      <c r="B747" s="1" t="n">
        <v>45840</v>
      </c>
      <c r="C747" s="1" t="n">
        <v>45877</v>
      </c>
      <c r="D747" t="inlineStr">
        <is>
          <t>DALARNAS LÄN</t>
        </is>
      </c>
      <c r="E747" t="inlineStr">
        <is>
          <t>HEDEMORA</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33288-2025</t>
        </is>
      </c>
      <c r="B748" s="1" t="n">
        <v>45840</v>
      </c>
      <c r="C748" s="1" t="n">
        <v>45877</v>
      </c>
      <c r="D748" t="inlineStr">
        <is>
          <t>DALARNAS LÄN</t>
        </is>
      </c>
      <c r="E748" t="inlineStr">
        <is>
          <t>HEDEMORA</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33968-2025</t>
        </is>
      </c>
      <c r="B749" s="1" t="n">
        <v>45842</v>
      </c>
      <c r="C749" s="1" t="n">
        <v>45877</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34734-2025</t>
        </is>
      </c>
      <c r="B750" s="1" t="n">
        <v>45848</v>
      </c>
      <c r="C750" s="1" t="n">
        <v>45877</v>
      </c>
      <c r="D750" t="inlineStr">
        <is>
          <t>DALARNAS LÄN</t>
        </is>
      </c>
      <c r="E750" t="inlineStr">
        <is>
          <t>HEDEMORA</t>
        </is>
      </c>
      <c r="G750" t="n">
        <v>2.5</v>
      </c>
      <c r="H750" t="n">
        <v>0</v>
      </c>
      <c r="I750" t="n">
        <v>0</v>
      </c>
      <c r="J750" t="n">
        <v>0</v>
      </c>
      <c r="K750" t="n">
        <v>0</v>
      </c>
      <c r="L750" t="n">
        <v>0</v>
      </c>
      <c r="M750" t="n">
        <v>0</v>
      </c>
      <c r="N750" t="n">
        <v>0</v>
      </c>
      <c r="O750" t="n">
        <v>0</v>
      </c>
      <c r="P750" t="n">
        <v>0</v>
      </c>
      <c r="Q750" t="n">
        <v>0</v>
      </c>
      <c r="R750" s="2" t="inlineStr"/>
    </row>
    <row r="751" ht="15" customHeight="1">
      <c r="A751" t="inlineStr">
        <is>
          <t>A 35103-2025</t>
        </is>
      </c>
      <c r="B751" s="1" t="n">
        <v>45852</v>
      </c>
      <c r="C751" s="1" t="n">
        <v>45877</v>
      </c>
      <c r="D751" t="inlineStr">
        <is>
          <t>DALARNAS LÄN</t>
        </is>
      </c>
      <c r="E751" t="inlineStr">
        <is>
          <t>HEDEMORA</t>
        </is>
      </c>
      <c r="G751" t="n">
        <v>6.2</v>
      </c>
      <c r="H751" t="n">
        <v>0</v>
      </c>
      <c r="I751" t="n">
        <v>0</v>
      </c>
      <c r="J751" t="n">
        <v>0</v>
      </c>
      <c r="K751" t="n">
        <v>0</v>
      </c>
      <c r="L751" t="n">
        <v>0</v>
      </c>
      <c r="M751" t="n">
        <v>0</v>
      </c>
      <c r="N751" t="n">
        <v>0</v>
      </c>
      <c r="O751" t="n">
        <v>0</v>
      </c>
      <c r="P751" t="n">
        <v>0</v>
      </c>
      <c r="Q751" t="n">
        <v>0</v>
      </c>
      <c r="R751" s="2" t="inlineStr"/>
    </row>
    <row r="752" ht="15" customHeight="1">
      <c r="A752" t="inlineStr">
        <is>
          <t>A 36075-2025</t>
        </is>
      </c>
      <c r="B752" s="1" t="n">
        <v>45866</v>
      </c>
      <c r="C752" s="1" t="n">
        <v>45877</v>
      </c>
      <c r="D752" t="inlineStr">
        <is>
          <t>DALARNAS LÄN</t>
        </is>
      </c>
      <c r="E752" t="inlineStr">
        <is>
          <t>HEDEMORA</t>
        </is>
      </c>
      <c r="G752" t="n">
        <v>0.8</v>
      </c>
      <c r="H752" t="n">
        <v>0</v>
      </c>
      <c r="I752" t="n">
        <v>0</v>
      </c>
      <c r="J752" t="n">
        <v>0</v>
      </c>
      <c r="K752" t="n">
        <v>0</v>
      </c>
      <c r="L752" t="n">
        <v>0</v>
      </c>
      <c r="M752" t="n">
        <v>0</v>
      </c>
      <c r="N752" t="n">
        <v>0</v>
      </c>
      <c r="O752" t="n">
        <v>0</v>
      </c>
      <c r="P752" t="n">
        <v>0</v>
      </c>
      <c r="Q752" t="n">
        <v>0</v>
      </c>
      <c r="R752" s="2" t="inlineStr"/>
    </row>
    <row r="753" ht="15" customHeight="1">
      <c r="A753" t="inlineStr">
        <is>
          <t>A 36103-2025</t>
        </is>
      </c>
      <c r="B753" s="1" t="n">
        <v>45866</v>
      </c>
      <c r="C753" s="1" t="n">
        <v>45877</v>
      </c>
      <c r="D753" t="inlineStr">
        <is>
          <t>DALARNAS LÄN</t>
        </is>
      </c>
      <c r="E753" t="inlineStr">
        <is>
          <t>HEDEMORA</t>
        </is>
      </c>
      <c r="G753" t="n">
        <v>2.3</v>
      </c>
      <c r="H753" t="n">
        <v>0</v>
      </c>
      <c r="I753" t="n">
        <v>0</v>
      </c>
      <c r="J753" t="n">
        <v>0</v>
      </c>
      <c r="K753" t="n">
        <v>0</v>
      </c>
      <c r="L753" t="n">
        <v>0</v>
      </c>
      <c r="M753" t="n">
        <v>0</v>
      </c>
      <c r="N753" t="n">
        <v>0</v>
      </c>
      <c r="O753" t="n">
        <v>0</v>
      </c>
      <c r="P753" t="n">
        <v>0</v>
      </c>
      <c r="Q753" t="n">
        <v>0</v>
      </c>
      <c r="R753" s="2" t="inlineStr"/>
    </row>
    <row r="754" ht="15" customHeight="1">
      <c r="A754" t="inlineStr">
        <is>
          <t>A 36117-2025</t>
        </is>
      </c>
      <c r="B754" s="1" t="n">
        <v>45866</v>
      </c>
      <c r="C754" s="1" t="n">
        <v>45877</v>
      </c>
      <c r="D754" t="inlineStr">
        <is>
          <t>DALARNAS LÄN</t>
        </is>
      </c>
      <c r="E754" t="inlineStr">
        <is>
          <t>HEDEMORA</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36206-2025</t>
        </is>
      </c>
      <c r="B755" s="1" t="n">
        <v>45867</v>
      </c>
      <c r="C755" s="1" t="n">
        <v>45877</v>
      </c>
      <c r="D755" t="inlineStr">
        <is>
          <t>DALARNAS LÄN</t>
        </is>
      </c>
      <c r="E755" t="inlineStr">
        <is>
          <t>HEDEMORA</t>
        </is>
      </c>
      <c r="G755" t="n">
        <v>0.1</v>
      </c>
      <c r="H755" t="n">
        <v>0</v>
      </c>
      <c r="I755" t="n">
        <v>0</v>
      </c>
      <c r="J755" t="n">
        <v>0</v>
      </c>
      <c r="K755" t="n">
        <v>0</v>
      </c>
      <c r="L755" t="n">
        <v>0</v>
      </c>
      <c r="M755" t="n">
        <v>0</v>
      </c>
      <c r="N755" t="n">
        <v>0</v>
      </c>
      <c r="O755" t="n">
        <v>0</v>
      </c>
      <c r="P755" t="n">
        <v>0</v>
      </c>
      <c r="Q755" t="n">
        <v>0</v>
      </c>
      <c r="R755" s="2" t="inlineStr"/>
    </row>
    <row r="756">
      <c r="A756" t="inlineStr">
        <is>
          <t>A 36656-2025</t>
        </is>
      </c>
      <c r="B756" s="1" t="n">
        <v>45873</v>
      </c>
      <c r="C756" s="1" t="n">
        <v>45877</v>
      </c>
      <c r="D756" t="inlineStr">
        <is>
          <t>DALARNAS LÄN</t>
        </is>
      </c>
      <c r="E756" t="inlineStr">
        <is>
          <t>HEDEMORA</t>
        </is>
      </c>
      <c r="G756" t="n">
        <v>1.7</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2025-08-09T01:01:30Z</dcterms:created>
  <dcterms:modified xmlns:dcterms="http://purl.org/dc/terms/" xmlns:xsi="http://www.w3.org/2001/XMLSchema-instance" xsi:type="dcterms:W3CDTF">2025-08-09T01:01:31Z</dcterms:modified>
</cp:coreProperties>
</file>