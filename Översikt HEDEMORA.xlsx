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46202</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46202</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46202</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46202</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46202</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46202</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46202</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46202</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46202</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46202</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46202</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34928-2024</t>
        </is>
      </c>
      <c r="B13" s="1" t="n">
        <v>45527</v>
      </c>
      <c r="C13" s="1" t="n">
        <v>46202</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46202</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46202</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25923-2026</t>
        </is>
      </c>
      <c r="B16" s="1" t="n">
        <v>46178</v>
      </c>
      <c r="C16" s="1" t="n">
        <v>46202</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46202</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46202</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46202</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46202</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46202</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26431-2024</t>
        </is>
      </c>
      <c r="B22" s="1" t="n">
        <v>45469</v>
      </c>
      <c r="C22" s="1" t="n">
        <v>46202</v>
      </c>
      <c r="D22" t="inlineStr">
        <is>
          <t>DALARNAS LÄN</t>
        </is>
      </c>
      <c r="E22" t="inlineStr">
        <is>
          <t>HEDEMORA</t>
        </is>
      </c>
      <c r="G22" t="n">
        <v>1.6</v>
      </c>
      <c r="H22" t="n">
        <v>2</v>
      </c>
      <c r="I22" t="n">
        <v>2</v>
      </c>
      <c r="J22" t="n">
        <v>3</v>
      </c>
      <c r="K22" t="n">
        <v>1</v>
      </c>
      <c r="L22" t="n">
        <v>0</v>
      </c>
      <c r="M22" t="n">
        <v>0</v>
      </c>
      <c r="N22" t="n">
        <v>0</v>
      </c>
      <c r="O22" t="n">
        <v>4</v>
      </c>
      <c r="P22" t="n">
        <v>1</v>
      </c>
      <c r="Q22" t="n">
        <v>7</v>
      </c>
      <c r="R22" s="2" t="inlineStr">
        <is>
          <t>Knärot
Fjällig taggsvamp s.str.
Rynkskinn
Ullticka
Rödgul trumpetsvamp
Svavelriska
Blåsippa</t>
        </is>
      </c>
      <c r="S22">
        <f>HYPERLINK("https://klasma.github.io/Logging_2083/artfynd/A 26431-2024 artfynd.xlsx", "A 26431-2024")</f>
        <v/>
      </c>
      <c r="T22">
        <f>HYPERLINK("https://klasma.github.io/Logging_2083/kartor/A 26431-2024 karta.png", "A 26431-2024")</f>
        <v/>
      </c>
      <c r="U22">
        <f>HYPERLINK("https://klasma.github.io/Logging_2083/knärot/A 26431-2024 karta knärot.png", "A 26431-2024")</f>
        <v/>
      </c>
      <c r="V22">
        <f>HYPERLINK("https://klasma.github.io/Logging_2083/klagomål/A 26431-2024 FSC-klagomål.docx", "A 26431-2024")</f>
        <v/>
      </c>
      <c r="W22">
        <f>HYPERLINK("https://klasma.github.io/Logging_2083/klagomålsmail/A 26431-2024 FSC-klagomål mail.docx", "A 26431-2024")</f>
        <v/>
      </c>
      <c r="X22">
        <f>HYPERLINK("https://klasma.github.io/Logging_2083/tillsyn/A 26431-2024 tillsynsbegäran.docx", "A 26431-2024")</f>
        <v/>
      </c>
      <c r="Y22">
        <f>HYPERLINK("https://klasma.github.io/Logging_2083/tillsynsmail/A 26431-2024 tillsynsbegäran mail.docx", "A 26431-2024")</f>
        <v/>
      </c>
    </row>
    <row r="23" ht="15" customHeight="1">
      <c r="A23" t="inlineStr">
        <is>
          <t>A 38725-2025</t>
        </is>
      </c>
      <c r="B23" s="1" t="n">
        <v>45887</v>
      </c>
      <c r="C23" s="1" t="n">
        <v>46202</v>
      </c>
      <c r="D23" t="inlineStr">
        <is>
          <t>DALARNAS LÄN</t>
        </is>
      </c>
      <c r="E23" t="inlineStr">
        <is>
          <t>HEDEMORA</t>
        </is>
      </c>
      <c r="G23" t="n">
        <v>8.199999999999999</v>
      </c>
      <c r="H23" t="n">
        <v>0</v>
      </c>
      <c r="I23" t="n">
        <v>2</v>
      </c>
      <c r="J23" t="n">
        <v>4</v>
      </c>
      <c r="K23" t="n">
        <v>1</v>
      </c>
      <c r="L23" t="n">
        <v>0</v>
      </c>
      <c r="M23" t="n">
        <v>0</v>
      </c>
      <c r="N23" t="n">
        <v>0</v>
      </c>
      <c r="O23" t="n">
        <v>5</v>
      </c>
      <c r="P23" t="n">
        <v>1</v>
      </c>
      <c r="Q23" t="n">
        <v>7</v>
      </c>
      <c r="R23" s="2" t="inlineStr">
        <is>
          <t>Grangråticka
Fjällig taggsvamp s.str.
Odörspindling
Persiljespindling
Puderspindling
Olivspindling
Svavelriska</t>
        </is>
      </c>
      <c r="S23">
        <f>HYPERLINK("https://klasma.github.io/Logging_2083/artfynd/A 38725-2025 artfynd.xlsx", "A 38725-2025")</f>
        <v/>
      </c>
      <c r="T23">
        <f>HYPERLINK("https://klasma.github.io/Logging_2083/kartor/A 38725-2025 karta.png", "A 38725-2025")</f>
        <v/>
      </c>
      <c r="V23">
        <f>HYPERLINK("https://klasma.github.io/Logging_2083/klagomål/A 38725-2025 FSC-klagomål.docx", "A 38725-2025")</f>
        <v/>
      </c>
      <c r="W23">
        <f>HYPERLINK("https://klasma.github.io/Logging_2083/klagomålsmail/A 38725-2025 FSC-klagomål mail.docx", "A 38725-2025")</f>
        <v/>
      </c>
      <c r="X23">
        <f>HYPERLINK("https://klasma.github.io/Logging_2083/tillsyn/A 38725-2025 tillsynsbegäran.docx", "A 38725-2025")</f>
        <v/>
      </c>
      <c r="Y23">
        <f>HYPERLINK("https://klasma.github.io/Logging_2083/tillsynsmail/A 38725-2025 tillsynsbegäran mail.docx", "A 38725-2025")</f>
        <v/>
      </c>
    </row>
    <row r="24" ht="15" customHeight="1">
      <c r="A24" t="inlineStr">
        <is>
          <t>A 40765-2025</t>
        </is>
      </c>
      <c r="B24" s="1" t="n">
        <v>45897</v>
      </c>
      <c r="C24" s="1" t="n">
        <v>46202</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58719-2021</t>
        </is>
      </c>
      <c r="B25" s="1" t="n">
        <v>44489</v>
      </c>
      <c r="C25" s="1" t="n">
        <v>46202</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46202</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46202</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46202</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46202</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45884-2021</t>
        </is>
      </c>
      <c r="B30" s="1" t="n">
        <v>44441</v>
      </c>
      <c r="C30" s="1" t="n">
        <v>46202</v>
      </c>
      <c r="D30" t="inlineStr">
        <is>
          <t>DALARNAS LÄN</t>
        </is>
      </c>
      <c r="E30" t="inlineStr">
        <is>
          <t>HEDEMORA</t>
        </is>
      </c>
      <c r="G30" t="n">
        <v>0.9</v>
      </c>
      <c r="H30" t="n">
        <v>3</v>
      </c>
      <c r="I30" t="n">
        <v>2</v>
      </c>
      <c r="J30" t="n">
        <v>0</v>
      </c>
      <c r="K30" t="n">
        <v>1</v>
      </c>
      <c r="L30" t="n">
        <v>0</v>
      </c>
      <c r="M30" t="n">
        <v>0</v>
      </c>
      <c r="N30" t="n">
        <v>0</v>
      </c>
      <c r="O30" t="n">
        <v>1</v>
      </c>
      <c r="P30" t="n">
        <v>1</v>
      </c>
      <c r="Q30" t="n">
        <v>5</v>
      </c>
      <c r="R30" s="2" t="inlineStr">
        <is>
          <t>Knärot
Bollvitmossa
Bronshjon
Spillkråka
Tjäder</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c r="Z30">
        <f>HYPERLINK("https://klasma.github.io/Logging_2083/fåglar/A 45884-2021 prioriterade fågelarter.docx", "A 45884-2021")</f>
        <v/>
      </c>
    </row>
    <row r="31" ht="15" customHeight="1">
      <c r="A31" t="inlineStr">
        <is>
          <t>A 1454-2026</t>
        </is>
      </c>
      <c r="B31" s="1" t="n">
        <v>46033</v>
      </c>
      <c r="C31" s="1" t="n">
        <v>46202</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10160-2026</t>
        </is>
      </c>
      <c r="B32" s="1" t="n">
        <v>46076</v>
      </c>
      <c r="C32" s="1" t="n">
        <v>46202</v>
      </c>
      <c r="D32" t="inlineStr">
        <is>
          <t>DALARNAS LÄN</t>
        </is>
      </c>
      <c r="E32" t="inlineStr">
        <is>
          <t>HEDEMORA</t>
        </is>
      </c>
      <c r="G32" t="n">
        <v>1.9</v>
      </c>
      <c r="H32" t="n">
        <v>0</v>
      </c>
      <c r="I32" t="n">
        <v>1</v>
      </c>
      <c r="J32" t="n">
        <v>1</v>
      </c>
      <c r="K32" t="n">
        <v>0</v>
      </c>
      <c r="L32" t="n">
        <v>0</v>
      </c>
      <c r="M32" t="n">
        <v>0</v>
      </c>
      <c r="N32" t="n">
        <v>0</v>
      </c>
      <c r="O32" t="n">
        <v>1</v>
      </c>
      <c r="P32" t="n">
        <v>0</v>
      </c>
      <c r="Q32" t="n">
        <v>5</v>
      </c>
      <c r="R32" s="2" t="inlineStr">
        <is>
          <t>Gullpudra
Mörk husmossa
Bandpraktmossa
Bäckbräsma
Humleblomster</t>
        </is>
      </c>
      <c r="S32">
        <f>HYPERLINK("https://klasma.github.io/Logging_2083/artfynd/A 10160-2026 artfynd.xlsx", "A 10160-2026")</f>
        <v/>
      </c>
      <c r="T32">
        <f>HYPERLINK("https://klasma.github.io/Logging_2083/kartor/A 10160-2026 karta.png", "A 10160-2026")</f>
        <v/>
      </c>
      <c r="V32">
        <f>HYPERLINK("https://klasma.github.io/Logging_2083/klagomål/A 10160-2026 FSC-klagomål.docx", "A 10160-2026")</f>
        <v/>
      </c>
      <c r="W32">
        <f>HYPERLINK("https://klasma.github.io/Logging_2083/klagomålsmail/A 10160-2026 FSC-klagomål mail.docx", "A 10160-2026")</f>
        <v/>
      </c>
      <c r="X32">
        <f>HYPERLINK("https://klasma.github.io/Logging_2083/tillsyn/A 10160-2026 tillsynsbegäran.docx", "A 10160-2026")</f>
        <v/>
      </c>
      <c r="Y32">
        <f>HYPERLINK("https://klasma.github.io/Logging_2083/tillsynsmail/A 10160-2026 tillsynsbegäran mail.docx", "A 10160-2026")</f>
        <v/>
      </c>
    </row>
    <row r="33" ht="15" customHeight="1">
      <c r="A33" t="inlineStr">
        <is>
          <t>A 59035-2023</t>
        </is>
      </c>
      <c r="B33" s="1" t="n">
        <v>45252</v>
      </c>
      <c r="C33" s="1" t="n">
        <v>46202</v>
      </c>
      <c r="D33" t="inlineStr">
        <is>
          <t>DALARNAS LÄN</t>
        </is>
      </c>
      <c r="E33" t="inlineStr">
        <is>
          <t>HEDEMORA</t>
        </is>
      </c>
      <c r="F33" t="inlineStr">
        <is>
          <t>Sveaskog</t>
        </is>
      </c>
      <c r="G33" t="n">
        <v>3.7</v>
      </c>
      <c r="H33" t="n">
        <v>3</v>
      </c>
      <c r="I33" t="n">
        <v>1</v>
      </c>
      <c r="J33" t="n">
        <v>0</v>
      </c>
      <c r="K33" t="n">
        <v>1</v>
      </c>
      <c r="L33" t="n">
        <v>0</v>
      </c>
      <c r="M33" t="n">
        <v>0</v>
      </c>
      <c r="N33" t="n">
        <v>0</v>
      </c>
      <c r="O33" t="n">
        <v>1</v>
      </c>
      <c r="P33" t="n">
        <v>1</v>
      </c>
      <c r="Q33" t="n">
        <v>4</v>
      </c>
      <c r="R33" s="2" t="inlineStr">
        <is>
          <t>Knärot
Grönpyrola
Blåsippa
Fläcknycklar</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49872-2021</t>
        </is>
      </c>
      <c r="B34" s="1" t="n">
        <v>44455</v>
      </c>
      <c r="C34" s="1" t="n">
        <v>46202</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62054-2021</t>
        </is>
      </c>
      <c r="B35" s="1" t="n">
        <v>44502</v>
      </c>
      <c r="C35" s="1" t="n">
        <v>46202</v>
      </c>
      <c r="D35" t="inlineStr">
        <is>
          <t>DALARNAS LÄN</t>
        </is>
      </c>
      <c r="E35" t="inlineStr">
        <is>
          <t>HEDEMORA</t>
        </is>
      </c>
      <c r="G35" t="n">
        <v>1.5</v>
      </c>
      <c r="H35" t="n">
        <v>1</v>
      </c>
      <c r="I35" t="n">
        <v>0</v>
      </c>
      <c r="J35" t="n">
        <v>2</v>
      </c>
      <c r="K35" t="n">
        <v>2</v>
      </c>
      <c r="L35" t="n">
        <v>0</v>
      </c>
      <c r="M35" t="n">
        <v>0</v>
      </c>
      <c r="N35" t="n">
        <v>0</v>
      </c>
      <c r="O35" t="n">
        <v>4</v>
      </c>
      <c r="P35" t="n">
        <v>2</v>
      </c>
      <c r="Q35" t="n">
        <v>4</v>
      </c>
      <c r="R35" s="2" t="inlineStr">
        <is>
          <t>Garnlav
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5326-2026</t>
        </is>
      </c>
      <c r="B36" s="1" t="n">
        <v>46048</v>
      </c>
      <c r="C36" s="1" t="n">
        <v>46202</v>
      </c>
      <c r="D36" t="inlineStr">
        <is>
          <t>DALARNAS LÄN</t>
        </is>
      </c>
      <c r="E36" t="inlineStr">
        <is>
          <t>HEDEMORA</t>
        </is>
      </c>
      <c r="G36" t="n">
        <v>3.5</v>
      </c>
      <c r="H36" t="n">
        <v>2</v>
      </c>
      <c r="I36" t="n">
        <v>0</v>
      </c>
      <c r="J36" t="n">
        <v>2</v>
      </c>
      <c r="K36" t="n">
        <v>0</v>
      </c>
      <c r="L36" t="n">
        <v>0</v>
      </c>
      <c r="M36" t="n">
        <v>0</v>
      </c>
      <c r="N36" t="n">
        <v>0</v>
      </c>
      <c r="O36" t="n">
        <v>2</v>
      </c>
      <c r="P36" t="n">
        <v>0</v>
      </c>
      <c r="Q36" t="n">
        <v>4</v>
      </c>
      <c r="R36" s="2" t="inlineStr">
        <is>
          <t>Tretåig hackspett
Ullticka
Kransmossa
Spillkråka</t>
        </is>
      </c>
      <c r="S36">
        <f>HYPERLINK("https://klasma.github.io/Logging_2083/artfynd/A 5326-2026 artfynd.xlsx", "A 5326-2026")</f>
        <v/>
      </c>
      <c r="T36">
        <f>HYPERLINK("https://klasma.github.io/Logging_2083/kartor/A 5326-2026 karta.png", "A 5326-2026")</f>
        <v/>
      </c>
      <c r="V36">
        <f>HYPERLINK("https://klasma.github.io/Logging_2083/klagomål/A 5326-2026 FSC-klagomål.docx", "A 5326-2026")</f>
        <v/>
      </c>
      <c r="W36">
        <f>HYPERLINK("https://klasma.github.io/Logging_2083/klagomålsmail/A 5326-2026 FSC-klagomål mail.docx", "A 5326-2026")</f>
        <v/>
      </c>
      <c r="X36">
        <f>HYPERLINK("https://klasma.github.io/Logging_2083/tillsyn/A 5326-2026 tillsynsbegäran.docx", "A 5326-2026")</f>
        <v/>
      </c>
      <c r="Y36">
        <f>HYPERLINK("https://klasma.github.io/Logging_2083/tillsynsmail/A 5326-2026 tillsynsbegäran mail.docx", "A 5326-2026")</f>
        <v/>
      </c>
      <c r="Z36">
        <f>HYPERLINK("https://klasma.github.io/Logging_2083/fåglar/A 5326-2026 prioriterade fågelarter.docx", "A 5326-2026")</f>
        <v/>
      </c>
    </row>
    <row r="37" ht="15" customHeight="1">
      <c r="A37" t="inlineStr">
        <is>
          <t>A 5713-2026</t>
        </is>
      </c>
      <c r="B37" s="1" t="n">
        <v>46051</v>
      </c>
      <c r="C37" s="1" t="n">
        <v>46202</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42614-2024</t>
        </is>
      </c>
      <c r="B38" s="1" t="n">
        <v>45565</v>
      </c>
      <c r="C38" s="1" t="n">
        <v>46202</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44960-2021</t>
        </is>
      </c>
      <c r="B39" s="1" t="n">
        <v>44438</v>
      </c>
      <c r="C39" s="1" t="n">
        <v>46202</v>
      </c>
      <c r="D39" t="inlineStr">
        <is>
          <t>DALARNAS LÄN</t>
        </is>
      </c>
      <c r="E39" t="inlineStr">
        <is>
          <t>HEDEMORA</t>
        </is>
      </c>
      <c r="F39" t="inlineStr">
        <is>
          <t>Sveaskog</t>
        </is>
      </c>
      <c r="G39" t="n">
        <v>1.8</v>
      </c>
      <c r="H39" t="n">
        <v>2</v>
      </c>
      <c r="I39" t="n">
        <v>0</v>
      </c>
      <c r="J39" t="n">
        <v>1</v>
      </c>
      <c r="K39" t="n">
        <v>0</v>
      </c>
      <c r="L39" t="n">
        <v>0</v>
      </c>
      <c r="M39" t="n">
        <v>0</v>
      </c>
      <c r="N39" t="n">
        <v>0</v>
      </c>
      <c r="O39" t="n">
        <v>1</v>
      </c>
      <c r="P39" t="n">
        <v>0</v>
      </c>
      <c r="Q39" t="n">
        <v>3</v>
      </c>
      <c r="R39" s="2" t="inlineStr">
        <is>
          <t>Älg
Mattlummer
Fläcknycklar</t>
        </is>
      </c>
      <c r="S39">
        <f>HYPERLINK("https://klasma.github.io/Logging_2083/artfynd/A 44960-2021 artfynd.xlsx", "A 44960-2021")</f>
        <v/>
      </c>
      <c r="T39">
        <f>HYPERLINK("https://klasma.github.io/Logging_2083/kartor/A 44960-2021 karta.png", "A 44960-2021")</f>
        <v/>
      </c>
      <c r="V39">
        <f>HYPERLINK("https://klasma.github.io/Logging_2083/klagomål/A 44960-2021 FSC-klagomål.docx", "A 44960-2021")</f>
        <v/>
      </c>
      <c r="W39">
        <f>HYPERLINK("https://klasma.github.io/Logging_2083/klagomålsmail/A 44960-2021 FSC-klagomål mail.docx", "A 44960-2021")</f>
        <v/>
      </c>
      <c r="X39">
        <f>HYPERLINK("https://klasma.github.io/Logging_2083/tillsyn/A 44960-2021 tillsynsbegäran.docx", "A 44960-2021")</f>
        <v/>
      </c>
      <c r="Y39">
        <f>HYPERLINK("https://klasma.github.io/Logging_2083/tillsynsmail/A 44960-2021 tillsynsbegäran mail.docx", "A 44960-2021")</f>
        <v/>
      </c>
    </row>
    <row r="40" ht="15" customHeight="1">
      <c r="A40" t="inlineStr">
        <is>
          <t>A 2409-2022</t>
        </is>
      </c>
      <c r="B40" s="1" t="n">
        <v>44579</v>
      </c>
      <c r="C40" s="1" t="n">
        <v>46202</v>
      </c>
      <c r="D40" t="inlineStr">
        <is>
          <t>DALARNAS LÄN</t>
        </is>
      </c>
      <c r="E40" t="inlineStr">
        <is>
          <t>HEDEMORA</t>
        </is>
      </c>
      <c r="G40" t="n">
        <v>3.1</v>
      </c>
      <c r="H40" t="n">
        <v>1</v>
      </c>
      <c r="I40" t="n">
        <v>1</v>
      </c>
      <c r="J40" t="n">
        <v>1</v>
      </c>
      <c r="K40" t="n">
        <v>1</v>
      </c>
      <c r="L40" t="n">
        <v>0</v>
      </c>
      <c r="M40" t="n">
        <v>0</v>
      </c>
      <c r="N40" t="n">
        <v>0</v>
      </c>
      <c r="O40" t="n">
        <v>2</v>
      </c>
      <c r="P40" t="n">
        <v>1</v>
      </c>
      <c r="Q40" t="n">
        <v>3</v>
      </c>
      <c r="R40" s="2" t="inlineStr">
        <is>
          <t>Knärot
Ullticka
Vedticka</t>
        </is>
      </c>
      <c r="S40">
        <f>HYPERLINK("https://klasma.github.io/Logging_2083/artfynd/A 2409-2022 artfynd.xlsx", "A 2409-2022")</f>
        <v/>
      </c>
      <c r="T40">
        <f>HYPERLINK("https://klasma.github.io/Logging_2083/kartor/A 2409-2022 karta.png", "A 2409-2022")</f>
        <v/>
      </c>
      <c r="U40">
        <f>HYPERLINK("https://klasma.github.io/Logging_2083/knärot/A 2409-2022 karta knärot.png", "A 2409-2022")</f>
        <v/>
      </c>
      <c r="V40">
        <f>HYPERLINK("https://klasma.github.io/Logging_2083/klagomål/A 2409-2022 FSC-klagomål.docx", "A 2409-2022")</f>
        <v/>
      </c>
      <c r="W40">
        <f>HYPERLINK("https://klasma.github.io/Logging_2083/klagomålsmail/A 2409-2022 FSC-klagomål mail.docx", "A 2409-2022")</f>
        <v/>
      </c>
      <c r="X40">
        <f>HYPERLINK("https://klasma.github.io/Logging_2083/tillsyn/A 2409-2022 tillsynsbegäran.docx", "A 2409-2022")</f>
        <v/>
      </c>
      <c r="Y40">
        <f>HYPERLINK("https://klasma.github.io/Logging_2083/tillsynsmail/A 2409-2022 tillsynsbegäran mail.docx", "A 2409-2022")</f>
        <v/>
      </c>
    </row>
    <row r="41" ht="15" customHeight="1">
      <c r="A41" t="inlineStr">
        <is>
          <t>A 451-2025</t>
        </is>
      </c>
      <c r="B41" s="1" t="n">
        <v>45664</v>
      </c>
      <c r="C41" s="1" t="n">
        <v>46202</v>
      </c>
      <c r="D41" t="inlineStr">
        <is>
          <t>DALARNAS LÄN</t>
        </is>
      </c>
      <c r="E41" t="inlineStr">
        <is>
          <t>HEDEMORA</t>
        </is>
      </c>
      <c r="G41" t="n">
        <v>4.5</v>
      </c>
      <c r="H41" t="n">
        <v>2</v>
      </c>
      <c r="I41" t="n">
        <v>0</v>
      </c>
      <c r="J41" t="n">
        <v>1</v>
      </c>
      <c r="K41" t="n">
        <v>1</v>
      </c>
      <c r="L41" t="n">
        <v>0</v>
      </c>
      <c r="M41" t="n">
        <v>0</v>
      </c>
      <c r="N41" t="n">
        <v>0</v>
      </c>
      <c r="O41" t="n">
        <v>2</v>
      </c>
      <c r="P41" t="n">
        <v>1</v>
      </c>
      <c r="Q41" t="n">
        <v>3</v>
      </c>
      <c r="R41" s="2" t="inlineStr">
        <is>
          <t>Knärot
Vedskivlav
Spillkråka</t>
        </is>
      </c>
      <c r="S41">
        <f>HYPERLINK("https://klasma.github.io/Logging_2083/artfynd/A 451-2025 artfynd.xlsx", "A 451-2025")</f>
        <v/>
      </c>
      <c r="T41">
        <f>HYPERLINK("https://klasma.github.io/Logging_2083/kartor/A 451-2025 karta.png", "A 451-2025")</f>
        <v/>
      </c>
      <c r="U41">
        <f>HYPERLINK("https://klasma.github.io/Logging_2083/knärot/A 451-2025 karta knärot.png", "A 451-2025")</f>
        <v/>
      </c>
      <c r="V41">
        <f>HYPERLINK("https://klasma.github.io/Logging_2083/klagomål/A 451-2025 FSC-klagomål.docx", "A 451-2025")</f>
        <v/>
      </c>
      <c r="W41">
        <f>HYPERLINK("https://klasma.github.io/Logging_2083/klagomålsmail/A 451-2025 FSC-klagomål mail.docx", "A 451-2025")</f>
        <v/>
      </c>
      <c r="X41">
        <f>HYPERLINK("https://klasma.github.io/Logging_2083/tillsyn/A 451-2025 tillsynsbegäran.docx", "A 451-2025")</f>
        <v/>
      </c>
      <c r="Y41">
        <f>HYPERLINK("https://klasma.github.io/Logging_2083/tillsynsmail/A 451-2025 tillsynsbegäran mail.docx", "A 451-2025")</f>
        <v/>
      </c>
      <c r="Z41">
        <f>HYPERLINK("https://klasma.github.io/Logging_2083/fåglar/A 451-2025 prioriterade fågelarter.docx", "A 451-2025")</f>
        <v/>
      </c>
    </row>
    <row r="42" ht="15" customHeight="1">
      <c r="A42" t="inlineStr">
        <is>
          <t>A 6556-2023</t>
        </is>
      </c>
      <c r="B42" s="1" t="n">
        <v>44961</v>
      </c>
      <c r="C42" s="1" t="n">
        <v>46202</v>
      </c>
      <c r="D42" t="inlineStr">
        <is>
          <t>DALARNAS LÄN</t>
        </is>
      </c>
      <c r="E42" t="inlineStr">
        <is>
          <t>HEDEMORA</t>
        </is>
      </c>
      <c r="G42" t="n">
        <v>3.7</v>
      </c>
      <c r="H42" t="n">
        <v>2</v>
      </c>
      <c r="I42" t="n">
        <v>0</v>
      </c>
      <c r="J42" t="n">
        <v>0</v>
      </c>
      <c r="K42" t="n">
        <v>0</v>
      </c>
      <c r="L42" t="n">
        <v>1</v>
      </c>
      <c r="M42" t="n">
        <v>0</v>
      </c>
      <c r="N42" t="n">
        <v>0</v>
      </c>
      <c r="O42" t="n">
        <v>1</v>
      </c>
      <c r="P42" t="n">
        <v>1</v>
      </c>
      <c r="Q42" t="n">
        <v>3</v>
      </c>
      <c r="R42" s="2" t="inlineStr">
        <is>
          <t>Ask
Buskskvätta
Kungsfågel</t>
        </is>
      </c>
      <c r="S42">
        <f>HYPERLINK("https://klasma.github.io/Logging_2083/artfynd/A 6556-2023 artfynd.xlsx", "A 6556-2023")</f>
        <v/>
      </c>
      <c r="T42">
        <f>HYPERLINK("https://klasma.github.io/Logging_2083/kartor/A 6556-2023 karta.png", "A 6556-2023")</f>
        <v/>
      </c>
      <c r="V42">
        <f>HYPERLINK("https://klasma.github.io/Logging_2083/klagomål/A 6556-2023 FSC-klagomål.docx", "A 6556-2023")</f>
        <v/>
      </c>
      <c r="W42">
        <f>HYPERLINK("https://klasma.github.io/Logging_2083/klagomålsmail/A 6556-2023 FSC-klagomål mail.docx", "A 6556-2023")</f>
        <v/>
      </c>
      <c r="X42">
        <f>HYPERLINK("https://klasma.github.io/Logging_2083/tillsyn/A 6556-2023 tillsynsbegäran.docx", "A 6556-2023")</f>
        <v/>
      </c>
      <c r="Y42">
        <f>HYPERLINK("https://klasma.github.io/Logging_2083/tillsynsmail/A 6556-2023 tillsynsbegäran mail.docx", "A 6556-2023")</f>
        <v/>
      </c>
    </row>
    <row r="43" ht="15" customHeight="1">
      <c r="A43" t="inlineStr">
        <is>
          <t>A 48382-2025</t>
        </is>
      </c>
      <c r="B43" s="1" t="n">
        <v>45933</v>
      </c>
      <c r="C43" s="1" t="n">
        <v>46202</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row>
    <row r="44" ht="15" customHeight="1">
      <c r="A44" t="inlineStr">
        <is>
          <t>A 5677-2026</t>
        </is>
      </c>
      <c r="B44" s="1" t="n">
        <v>46051</v>
      </c>
      <c r="C44" s="1" t="n">
        <v>46202</v>
      </c>
      <c r="D44" t="inlineStr">
        <is>
          <t>DALARNAS LÄN</t>
        </is>
      </c>
      <c r="E44" t="inlineStr">
        <is>
          <t>HEDEMORA</t>
        </is>
      </c>
      <c r="G44" t="n">
        <v>2.4</v>
      </c>
      <c r="H44" t="n">
        <v>3</v>
      </c>
      <c r="I44" t="n">
        <v>0</v>
      </c>
      <c r="J44" t="n">
        <v>2</v>
      </c>
      <c r="K44" t="n">
        <v>0</v>
      </c>
      <c r="L44" t="n">
        <v>0</v>
      </c>
      <c r="M44" t="n">
        <v>0</v>
      </c>
      <c r="N44" t="n">
        <v>0</v>
      </c>
      <c r="O44" t="n">
        <v>2</v>
      </c>
      <c r="P44" t="n">
        <v>0</v>
      </c>
      <c r="Q44" t="n">
        <v>3</v>
      </c>
      <c r="R44" s="2" t="inlineStr">
        <is>
          <t>Brunlångöra
Nordfladdermus
Vattenfladdermus</t>
        </is>
      </c>
      <c r="S44">
        <f>HYPERLINK("https://klasma.github.io/Logging_2083/artfynd/A 5677-2026 artfynd.xlsx", "A 5677-2026")</f>
        <v/>
      </c>
      <c r="T44">
        <f>HYPERLINK("https://klasma.github.io/Logging_2083/kartor/A 5677-2026 karta.png", "A 5677-2026")</f>
        <v/>
      </c>
      <c r="V44">
        <f>HYPERLINK("https://klasma.github.io/Logging_2083/klagomål/A 5677-2026 FSC-klagomål.docx", "A 5677-2026")</f>
        <v/>
      </c>
      <c r="W44">
        <f>HYPERLINK("https://klasma.github.io/Logging_2083/klagomålsmail/A 5677-2026 FSC-klagomål mail.docx", "A 5677-2026")</f>
        <v/>
      </c>
      <c r="X44">
        <f>HYPERLINK("https://klasma.github.io/Logging_2083/tillsyn/A 5677-2026 tillsynsbegäran.docx", "A 5677-2026")</f>
        <v/>
      </c>
      <c r="Y44">
        <f>HYPERLINK("https://klasma.github.io/Logging_2083/tillsynsmail/A 5677-2026 tillsynsbegäran mail.docx", "A 5677-2026")</f>
        <v/>
      </c>
    </row>
    <row r="45" ht="15" customHeight="1">
      <c r="A45" t="inlineStr">
        <is>
          <t>A 3152-2022</t>
        </is>
      </c>
      <c r="B45" s="1" t="n">
        <v>44582</v>
      </c>
      <c r="C45" s="1" t="n">
        <v>46202</v>
      </c>
      <c r="D45" t="inlineStr">
        <is>
          <t>DALARNAS LÄN</t>
        </is>
      </c>
      <c r="E45" t="inlineStr">
        <is>
          <t>HEDEMORA</t>
        </is>
      </c>
      <c r="G45" t="n">
        <v>8.800000000000001</v>
      </c>
      <c r="H45" t="n">
        <v>1</v>
      </c>
      <c r="I45" t="n">
        <v>1</v>
      </c>
      <c r="J45" t="n">
        <v>1</v>
      </c>
      <c r="K45" t="n">
        <v>1</v>
      </c>
      <c r="L45" t="n">
        <v>0</v>
      </c>
      <c r="M45" t="n">
        <v>0</v>
      </c>
      <c r="N45" t="n">
        <v>0</v>
      </c>
      <c r="O45" t="n">
        <v>2</v>
      </c>
      <c r="P45" t="n">
        <v>1</v>
      </c>
      <c r="Q45" t="n">
        <v>3</v>
      </c>
      <c r="R45" s="2" t="inlineStr">
        <is>
          <t>Knärot
Ullticka
Bronshjon</t>
        </is>
      </c>
      <c r="S45">
        <f>HYPERLINK("https://klasma.github.io/Logging_2083/artfynd/A 3152-2022 artfynd.xlsx", "A 3152-2022")</f>
        <v/>
      </c>
      <c r="T45">
        <f>HYPERLINK("https://klasma.github.io/Logging_2083/kartor/A 3152-2022 karta.png", "A 3152-2022")</f>
        <v/>
      </c>
      <c r="U45">
        <f>HYPERLINK("https://klasma.github.io/Logging_2083/knärot/A 3152-2022 karta knärot.png", "A 3152-2022")</f>
        <v/>
      </c>
      <c r="V45">
        <f>HYPERLINK("https://klasma.github.io/Logging_2083/klagomål/A 3152-2022 FSC-klagomål.docx", "A 3152-2022")</f>
        <v/>
      </c>
      <c r="W45">
        <f>HYPERLINK("https://klasma.github.io/Logging_2083/klagomålsmail/A 3152-2022 FSC-klagomål mail.docx", "A 3152-2022")</f>
        <v/>
      </c>
      <c r="X45">
        <f>HYPERLINK("https://klasma.github.io/Logging_2083/tillsyn/A 3152-2022 tillsynsbegäran.docx", "A 3152-2022")</f>
        <v/>
      </c>
      <c r="Y45">
        <f>HYPERLINK("https://klasma.github.io/Logging_2083/tillsynsmail/A 3152-2022 tillsynsbegäran mail.docx", "A 3152-2022")</f>
        <v/>
      </c>
    </row>
    <row r="46" ht="15" customHeight="1">
      <c r="A46" t="inlineStr">
        <is>
          <t>A 67282-2021</t>
        </is>
      </c>
      <c r="B46" s="1" t="n">
        <v>44523</v>
      </c>
      <c r="C46" s="1" t="n">
        <v>46202</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60017-2024</t>
        </is>
      </c>
      <c r="B47" s="1" t="n">
        <v>45642</v>
      </c>
      <c r="C47" s="1" t="n">
        <v>46202</v>
      </c>
      <c r="D47" t="inlineStr">
        <is>
          <t>DALARNAS LÄN</t>
        </is>
      </c>
      <c r="E47" t="inlineStr">
        <is>
          <t>HEDEMORA</t>
        </is>
      </c>
      <c r="F47" t="inlineStr">
        <is>
          <t>Sveaskog</t>
        </is>
      </c>
      <c r="G47" t="n">
        <v>0.5</v>
      </c>
      <c r="H47" t="n">
        <v>1</v>
      </c>
      <c r="I47" t="n">
        <v>1</v>
      </c>
      <c r="J47" t="n">
        <v>0</v>
      </c>
      <c r="K47" t="n">
        <v>1</v>
      </c>
      <c r="L47" t="n">
        <v>0</v>
      </c>
      <c r="M47" t="n">
        <v>0</v>
      </c>
      <c r="N47" t="n">
        <v>0</v>
      </c>
      <c r="O47" t="n">
        <v>1</v>
      </c>
      <c r="P47" t="n">
        <v>1</v>
      </c>
      <c r="Q47" t="n">
        <v>2</v>
      </c>
      <c r="R47" s="2" t="inlineStr">
        <is>
          <t>Knärot
Rödgul trumpetsvamp</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54849-2022</t>
        </is>
      </c>
      <c r="B48" s="1" t="n">
        <v>44883</v>
      </c>
      <c r="C48" s="1" t="n">
        <v>46202</v>
      </c>
      <c r="D48" t="inlineStr">
        <is>
          <t>DALARNAS LÄN</t>
        </is>
      </c>
      <c r="E48" t="inlineStr">
        <is>
          <t>HEDEMORA</t>
        </is>
      </c>
      <c r="F48" t="inlineStr">
        <is>
          <t>Sveaskog</t>
        </is>
      </c>
      <c r="G48" t="n">
        <v>8.5</v>
      </c>
      <c r="H48" t="n">
        <v>1</v>
      </c>
      <c r="I48" t="n">
        <v>0</v>
      </c>
      <c r="J48" t="n">
        <v>1</v>
      </c>
      <c r="K48" t="n">
        <v>1</v>
      </c>
      <c r="L48" t="n">
        <v>0</v>
      </c>
      <c r="M48" t="n">
        <v>0</v>
      </c>
      <c r="N48" t="n">
        <v>0</v>
      </c>
      <c r="O48" t="n">
        <v>2</v>
      </c>
      <c r="P48" t="n">
        <v>1</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20666-2024</t>
        </is>
      </c>
      <c r="B49" s="1" t="n">
        <v>45436</v>
      </c>
      <c r="C49" s="1" t="n">
        <v>46202</v>
      </c>
      <c r="D49" t="inlineStr">
        <is>
          <t>DALARNAS LÄN</t>
        </is>
      </c>
      <c r="E49" t="inlineStr">
        <is>
          <t>HEDEMORA</t>
        </is>
      </c>
      <c r="G49" t="n">
        <v>5.1</v>
      </c>
      <c r="H49" t="n">
        <v>2</v>
      </c>
      <c r="I49" t="n">
        <v>0</v>
      </c>
      <c r="J49" t="n">
        <v>0</v>
      </c>
      <c r="K49" t="n">
        <v>0</v>
      </c>
      <c r="L49" t="n">
        <v>0</v>
      </c>
      <c r="M49" t="n">
        <v>0</v>
      </c>
      <c r="N49" t="n">
        <v>0</v>
      </c>
      <c r="O49" t="n">
        <v>0</v>
      </c>
      <c r="P49" t="n">
        <v>0</v>
      </c>
      <c r="Q49" t="n">
        <v>2</v>
      </c>
      <c r="R49" s="2" t="inlineStr">
        <is>
          <t>Orre
Fläcknycklar</t>
        </is>
      </c>
      <c r="S49">
        <f>HYPERLINK("https://klasma.github.io/Logging_2083/artfynd/A 20666-2024 artfynd.xlsx", "A 20666-2024")</f>
        <v/>
      </c>
      <c r="T49">
        <f>HYPERLINK("https://klasma.github.io/Logging_2083/kartor/A 20666-2024 karta.png", "A 20666-2024")</f>
        <v/>
      </c>
      <c r="V49">
        <f>HYPERLINK("https://klasma.github.io/Logging_2083/klagomål/A 20666-2024 FSC-klagomål.docx", "A 20666-2024")</f>
        <v/>
      </c>
      <c r="W49">
        <f>HYPERLINK("https://klasma.github.io/Logging_2083/klagomålsmail/A 20666-2024 FSC-klagomål mail.docx", "A 20666-2024")</f>
        <v/>
      </c>
      <c r="X49">
        <f>HYPERLINK("https://klasma.github.io/Logging_2083/tillsyn/A 20666-2024 tillsynsbegäran.docx", "A 20666-2024")</f>
        <v/>
      </c>
      <c r="Y49">
        <f>HYPERLINK("https://klasma.github.io/Logging_2083/tillsynsmail/A 20666-2024 tillsynsbegäran mail.docx", "A 20666-2024")</f>
        <v/>
      </c>
      <c r="Z49">
        <f>HYPERLINK("https://klasma.github.io/Logging_2083/fåglar/A 20666-2024 prioriterade fågelarter.docx", "A 20666-2024")</f>
        <v/>
      </c>
    </row>
    <row r="50" ht="15" customHeight="1">
      <c r="A50" t="inlineStr">
        <is>
          <t>A 41477-2023</t>
        </is>
      </c>
      <c r="B50" s="1" t="n">
        <v>45171</v>
      </c>
      <c r="C50" s="1" t="n">
        <v>46202</v>
      </c>
      <c r="D50" t="inlineStr">
        <is>
          <t>DALARNAS LÄN</t>
        </is>
      </c>
      <c r="E50" t="inlineStr">
        <is>
          <t>HEDEMORA</t>
        </is>
      </c>
      <c r="F50" t="inlineStr">
        <is>
          <t>Bergvik skog väst AB</t>
        </is>
      </c>
      <c r="G50" t="n">
        <v>9.1</v>
      </c>
      <c r="H50" t="n">
        <v>0</v>
      </c>
      <c r="I50" t="n">
        <v>1</v>
      </c>
      <c r="J50" t="n">
        <v>1</v>
      </c>
      <c r="K50" t="n">
        <v>0</v>
      </c>
      <c r="L50" t="n">
        <v>0</v>
      </c>
      <c r="M50" t="n">
        <v>0</v>
      </c>
      <c r="N50" t="n">
        <v>0</v>
      </c>
      <c r="O50" t="n">
        <v>1</v>
      </c>
      <c r="P50" t="n">
        <v>0</v>
      </c>
      <c r="Q50" t="n">
        <v>2</v>
      </c>
      <c r="R50" s="2" t="inlineStr">
        <is>
          <t>Gullpudra
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29128-2025</t>
        </is>
      </c>
      <c r="B51" s="1" t="n">
        <v>45821</v>
      </c>
      <c r="C51" s="1" t="n">
        <v>46202</v>
      </c>
      <c r="D51" t="inlineStr">
        <is>
          <t>DALARNAS LÄN</t>
        </is>
      </c>
      <c r="E51" t="inlineStr">
        <is>
          <t>HEDEMORA</t>
        </is>
      </c>
      <c r="F51" t="inlineStr">
        <is>
          <t>Sveaskog</t>
        </is>
      </c>
      <c r="G51" t="n">
        <v>15.5</v>
      </c>
      <c r="H51" t="n">
        <v>2</v>
      </c>
      <c r="I51" t="n">
        <v>0</v>
      </c>
      <c r="J51" t="n">
        <v>0</v>
      </c>
      <c r="K51" t="n">
        <v>0</v>
      </c>
      <c r="L51" t="n">
        <v>0</v>
      </c>
      <c r="M51" t="n">
        <v>0</v>
      </c>
      <c r="N51" t="n">
        <v>0</v>
      </c>
      <c r="O51" t="n">
        <v>0</v>
      </c>
      <c r="P51" t="n">
        <v>0</v>
      </c>
      <c r="Q51" t="n">
        <v>2</v>
      </c>
      <c r="R51" s="2" t="inlineStr">
        <is>
          <t>Gråspett
Tjäder</t>
        </is>
      </c>
      <c r="S51">
        <f>HYPERLINK("https://klasma.github.io/Logging_2083/artfynd/A 29128-2025 artfynd.xlsx", "A 29128-2025")</f>
        <v/>
      </c>
      <c r="T51">
        <f>HYPERLINK("https://klasma.github.io/Logging_2083/kartor/A 29128-2025 karta.png", "A 29128-2025")</f>
        <v/>
      </c>
      <c r="V51">
        <f>HYPERLINK("https://klasma.github.io/Logging_2083/klagomål/A 29128-2025 FSC-klagomål.docx", "A 29128-2025")</f>
        <v/>
      </c>
      <c r="W51">
        <f>HYPERLINK("https://klasma.github.io/Logging_2083/klagomålsmail/A 29128-2025 FSC-klagomål mail.docx", "A 29128-2025")</f>
        <v/>
      </c>
      <c r="X51">
        <f>HYPERLINK("https://klasma.github.io/Logging_2083/tillsyn/A 29128-2025 tillsynsbegäran.docx", "A 29128-2025")</f>
        <v/>
      </c>
      <c r="Y51">
        <f>HYPERLINK("https://klasma.github.io/Logging_2083/tillsynsmail/A 29128-2025 tillsynsbegäran mail.docx", "A 29128-2025")</f>
        <v/>
      </c>
      <c r="Z51">
        <f>HYPERLINK("https://klasma.github.io/Logging_2083/fåglar/A 29128-2025 prioriterade fågelarter.docx", "A 29128-2025")</f>
        <v/>
      </c>
    </row>
    <row r="52" ht="15" customHeight="1">
      <c r="A52" t="inlineStr">
        <is>
          <t>A 29792-2025</t>
        </is>
      </c>
      <c r="B52" s="1" t="n">
        <v>45825</v>
      </c>
      <c r="C52" s="1" t="n">
        <v>46202</v>
      </c>
      <c r="D52" t="inlineStr">
        <is>
          <t>DALARNAS LÄN</t>
        </is>
      </c>
      <c r="E52" t="inlineStr">
        <is>
          <t>HEDEMORA</t>
        </is>
      </c>
      <c r="F52" t="inlineStr">
        <is>
          <t>Sveaskog</t>
        </is>
      </c>
      <c r="G52" t="n">
        <v>26.3</v>
      </c>
      <c r="H52" t="n">
        <v>2</v>
      </c>
      <c r="I52" t="n">
        <v>0</v>
      </c>
      <c r="J52" t="n">
        <v>1</v>
      </c>
      <c r="K52" t="n">
        <v>0</v>
      </c>
      <c r="L52" t="n">
        <v>0</v>
      </c>
      <c r="M52" t="n">
        <v>0</v>
      </c>
      <c r="N52" t="n">
        <v>0</v>
      </c>
      <c r="O52" t="n">
        <v>1</v>
      </c>
      <c r="P52" t="n">
        <v>0</v>
      </c>
      <c r="Q52" t="n">
        <v>2</v>
      </c>
      <c r="R52" s="2" t="inlineStr">
        <is>
          <t>Entita
Tjäder</t>
        </is>
      </c>
      <c r="S52">
        <f>HYPERLINK("https://klasma.github.io/Logging_2083/artfynd/A 29792-2025 artfynd.xlsx", "A 29792-2025")</f>
        <v/>
      </c>
      <c r="T52">
        <f>HYPERLINK("https://klasma.github.io/Logging_2083/kartor/A 29792-2025 karta.png", "A 29792-2025")</f>
        <v/>
      </c>
      <c r="V52">
        <f>HYPERLINK("https://klasma.github.io/Logging_2083/klagomål/A 29792-2025 FSC-klagomål.docx", "A 29792-2025")</f>
        <v/>
      </c>
      <c r="W52">
        <f>HYPERLINK("https://klasma.github.io/Logging_2083/klagomålsmail/A 29792-2025 FSC-klagomål mail.docx", "A 29792-2025")</f>
        <v/>
      </c>
      <c r="X52">
        <f>HYPERLINK("https://klasma.github.io/Logging_2083/tillsyn/A 29792-2025 tillsynsbegäran.docx", "A 29792-2025")</f>
        <v/>
      </c>
      <c r="Y52">
        <f>HYPERLINK("https://klasma.github.io/Logging_2083/tillsynsmail/A 29792-2025 tillsynsbegäran mail.docx", "A 29792-2025")</f>
        <v/>
      </c>
      <c r="Z52">
        <f>HYPERLINK("https://klasma.github.io/Logging_2083/fåglar/A 29792-2025 prioriterade fågelarter.docx", "A 29792-2025")</f>
        <v/>
      </c>
    </row>
    <row r="53" ht="15" customHeight="1">
      <c r="A53" t="inlineStr">
        <is>
          <t>A 1518-2025</t>
        </is>
      </c>
      <c r="B53" s="1" t="n">
        <v>45670</v>
      </c>
      <c r="C53" s="1" t="n">
        <v>46202</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1518-2025 artfynd.xlsx", "A 1518-2025")</f>
        <v/>
      </c>
      <c r="T53">
        <f>HYPERLINK("https://klasma.github.io/Logging_2083/kartor/A 1518-2025 karta.png", "A 1518-2025")</f>
        <v/>
      </c>
      <c r="U53">
        <f>HYPERLINK("https://klasma.github.io/Logging_2083/knärot/A 1518-2025 karta knärot.png", "A 1518-2025")</f>
        <v/>
      </c>
      <c r="V53">
        <f>HYPERLINK("https://klasma.github.io/Logging_2083/klagomål/A 1518-2025 FSC-klagomål.docx", "A 1518-2025")</f>
        <v/>
      </c>
      <c r="W53">
        <f>HYPERLINK("https://klasma.github.io/Logging_2083/klagomålsmail/A 1518-2025 FSC-klagomål mail.docx", "A 1518-2025")</f>
        <v/>
      </c>
      <c r="X53">
        <f>HYPERLINK("https://klasma.github.io/Logging_2083/tillsyn/A 1518-2025 tillsynsbegäran.docx", "A 1518-2025")</f>
        <v/>
      </c>
      <c r="Y53">
        <f>HYPERLINK("https://klasma.github.io/Logging_2083/tillsynsmail/A 1518-2025 tillsynsbegäran mail.docx", "A 1518-2025")</f>
        <v/>
      </c>
    </row>
    <row r="54" ht="15" customHeight="1">
      <c r="A54" t="inlineStr">
        <is>
          <t>A 61136-2025</t>
        </is>
      </c>
      <c r="B54" s="1" t="n">
        <v>46000</v>
      </c>
      <c r="C54" s="1" t="n">
        <v>46202</v>
      </c>
      <c r="D54" t="inlineStr">
        <is>
          <t>DALARNAS LÄN</t>
        </is>
      </c>
      <c r="E54" t="inlineStr">
        <is>
          <t>HEDEMORA</t>
        </is>
      </c>
      <c r="F54" t="inlineStr">
        <is>
          <t>Bergvik skog väst AB</t>
        </is>
      </c>
      <c r="G54" t="n">
        <v>6.2</v>
      </c>
      <c r="H54" t="n">
        <v>1</v>
      </c>
      <c r="I54" t="n">
        <v>0</v>
      </c>
      <c r="J54" t="n">
        <v>1</v>
      </c>
      <c r="K54" t="n">
        <v>0</v>
      </c>
      <c r="L54" t="n">
        <v>0</v>
      </c>
      <c r="M54" t="n">
        <v>0</v>
      </c>
      <c r="N54" t="n">
        <v>0</v>
      </c>
      <c r="O54" t="n">
        <v>1</v>
      </c>
      <c r="P54" t="n">
        <v>0</v>
      </c>
      <c r="Q54" t="n">
        <v>2</v>
      </c>
      <c r="R54" s="2" t="inlineStr">
        <is>
          <t>Brunklöver
Fläcknycklar</t>
        </is>
      </c>
      <c r="S54">
        <f>HYPERLINK("https://klasma.github.io/Logging_2083/artfynd/A 61136-2025 artfynd.xlsx", "A 61136-2025")</f>
        <v/>
      </c>
      <c r="T54">
        <f>HYPERLINK("https://klasma.github.io/Logging_2083/kartor/A 61136-2025 karta.png", "A 61136-2025")</f>
        <v/>
      </c>
      <c r="V54">
        <f>HYPERLINK("https://klasma.github.io/Logging_2083/klagomål/A 61136-2025 FSC-klagomål.docx", "A 61136-2025")</f>
        <v/>
      </c>
      <c r="W54">
        <f>HYPERLINK("https://klasma.github.io/Logging_2083/klagomålsmail/A 61136-2025 FSC-klagomål mail.docx", "A 61136-2025")</f>
        <v/>
      </c>
      <c r="X54">
        <f>HYPERLINK("https://klasma.github.io/Logging_2083/tillsyn/A 61136-2025 tillsynsbegäran.docx", "A 61136-2025")</f>
        <v/>
      </c>
      <c r="Y54">
        <f>HYPERLINK("https://klasma.github.io/Logging_2083/tillsynsmail/A 61136-2025 tillsynsbegäran mail.docx", "A 61136-2025")</f>
        <v/>
      </c>
    </row>
    <row r="55" ht="15" customHeight="1">
      <c r="A55" t="inlineStr">
        <is>
          <t>A 2996-2023</t>
        </is>
      </c>
      <c r="B55" s="1" t="n">
        <v>44945</v>
      </c>
      <c r="C55" s="1" t="n">
        <v>46202</v>
      </c>
      <c r="D55" t="inlineStr">
        <is>
          <t>DALARNAS LÄN</t>
        </is>
      </c>
      <c r="E55" t="inlineStr">
        <is>
          <t>HEDEMORA</t>
        </is>
      </c>
      <c r="G55" t="n">
        <v>2.1</v>
      </c>
      <c r="H55" t="n">
        <v>1</v>
      </c>
      <c r="I55" t="n">
        <v>0</v>
      </c>
      <c r="J55" t="n">
        <v>1</v>
      </c>
      <c r="K55" t="n">
        <v>0</v>
      </c>
      <c r="L55" t="n">
        <v>0</v>
      </c>
      <c r="M55" t="n">
        <v>0</v>
      </c>
      <c r="N55" t="n">
        <v>0</v>
      </c>
      <c r="O55" t="n">
        <v>1</v>
      </c>
      <c r="P55" t="n">
        <v>0</v>
      </c>
      <c r="Q55" t="n">
        <v>2</v>
      </c>
      <c r="R55" s="2" t="inlineStr">
        <is>
          <t>Vedtrappmossa
Blåsippa</t>
        </is>
      </c>
      <c r="S55">
        <f>HYPERLINK("https://klasma.github.io/Logging_2083/artfynd/A 2996-2023 artfynd.xlsx", "A 2996-2023")</f>
        <v/>
      </c>
      <c r="T55">
        <f>HYPERLINK("https://klasma.github.io/Logging_2083/kartor/A 2996-2023 karta.png", "A 2996-2023")</f>
        <v/>
      </c>
      <c r="V55">
        <f>HYPERLINK("https://klasma.github.io/Logging_2083/klagomål/A 2996-2023 FSC-klagomål.docx", "A 2996-2023")</f>
        <v/>
      </c>
      <c r="W55">
        <f>HYPERLINK("https://klasma.github.io/Logging_2083/klagomålsmail/A 2996-2023 FSC-klagomål mail.docx", "A 2996-2023")</f>
        <v/>
      </c>
      <c r="X55">
        <f>HYPERLINK("https://klasma.github.io/Logging_2083/tillsyn/A 2996-2023 tillsynsbegäran.docx", "A 2996-2023")</f>
        <v/>
      </c>
      <c r="Y55">
        <f>HYPERLINK("https://klasma.github.io/Logging_2083/tillsynsmail/A 2996-2023 tillsynsbegäran mail.docx", "A 2996-2023")</f>
        <v/>
      </c>
    </row>
    <row r="56" ht="15" customHeight="1">
      <c r="A56" t="inlineStr">
        <is>
          <t>A 9549-2026</t>
        </is>
      </c>
      <c r="B56" s="1" t="n">
        <v>46070</v>
      </c>
      <c r="C56" s="1" t="n">
        <v>46202</v>
      </c>
      <c r="D56" t="inlineStr">
        <is>
          <t>DALARNAS LÄN</t>
        </is>
      </c>
      <c r="E56" t="inlineStr">
        <is>
          <t>HEDEMORA</t>
        </is>
      </c>
      <c r="G56" t="n">
        <v>4.2</v>
      </c>
      <c r="H56" t="n">
        <v>1</v>
      </c>
      <c r="I56" t="n">
        <v>1</v>
      </c>
      <c r="J56" t="n">
        <v>0</v>
      </c>
      <c r="K56" t="n">
        <v>0</v>
      </c>
      <c r="L56" t="n">
        <v>0</v>
      </c>
      <c r="M56" t="n">
        <v>0</v>
      </c>
      <c r="N56" t="n">
        <v>0</v>
      </c>
      <c r="O56" t="n">
        <v>0</v>
      </c>
      <c r="P56" t="n">
        <v>0</v>
      </c>
      <c r="Q56" t="n">
        <v>2</v>
      </c>
      <c r="R56" s="2" t="inlineStr">
        <is>
          <t>Korallblylav
Orre</t>
        </is>
      </c>
      <c r="S56">
        <f>HYPERLINK("https://klasma.github.io/Logging_2083/artfynd/A 9549-2026 artfynd.xlsx", "A 9549-2026")</f>
        <v/>
      </c>
      <c r="T56">
        <f>HYPERLINK("https://klasma.github.io/Logging_2083/kartor/A 9549-2026 karta.png", "A 9549-2026")</f>
        <v/>
      </c>
      <c r="V56">
        <f>HYPERLINK("https://klasma.github.io/Logging_2083/klagomål/A 9549-2026 FSC-klagomål.docx", "A 9549-2026")</f>
        <v/>
      </c>
      <c r="W56">
        <f>HYPERLINK("https://klasma.github.io/Logging_2083/klagomålsmail/A 9549-2026 FSC-klagomål mail.docx", "A 9549-2026")</f>
        <v/>
      </c>
      <c r="X56">
        <f>HYPERLINK("https://klasma.github.io/Logging_2083/tillsyn/A 9549-2026 tillsynsbegäran.docx", "A 9549-2026")</f>
        <v/>
      </c>
      <c r="Y56">
        <f>HYPERLINK("https://klasma.github.io/Logging_2083/tillsynsmail/A 9549-2026 tillsynsbegäran mail.docx", "A 9549-2026")</f>
        <v/>
      </c>
      <c r="Z56">
        <f>HYPERLINK("https://klasma.github.io/Logging_2083/fåglar/A 9549-2026 prioriterade fågelarter.docx", "A 9549-2026")</f>
        <v/>
      </c>
    </row>
    <row r="57" ht="15" customHeight="1">
      <c r="A57" t="inlineStr">
        <is>
          <t>A 25338-2026</t>
        </is>
      </c>
      <c r="B57" s="1" t="n">
        <v>46176</v>
      </c>
      <c r="C57" s="1" t="n">
        <v>46202</v>
      </c>
      <c r="D57" t="inlineStr">
        <is>
          <t>DALARNAS LÄN</t>
        </is>
      </c>
      <c r="E57" t="inlineStr">
        <is>
          <t>HEDEMORA</t>
        </is>
      </c>
      <c r="F57" t="inlineStr">
        <is>
          <t>Sveaskog</t>
        </is>
      </c>
      <c r="G57" t="n">
        <v>2.2</v>
      </c>
      <c r="H57" t="n">
        <v>2</v>
      </c>
      <c r="I57" t="n">
        <v>0</v>
      </c>
      <c r="J57" t="n">
        <v>0</v>
      </c>
      <c r="K57" t="n">
        <v>0</v>
      </c>
      <c r="L57" t="n">
        <v>0</v>
      </c>
      <c r="M57" t="n">
        <v>0</v>
      </c>
      <c r="N57" t="n">
        <v>0</v>
      </c>
      <c r="O57" t="n">
        <v>0</v>
      </c>
      <c r="P57" t="n">
        <v>0</v>
      </c>
      <c r="Q57" t="n">
        <v>2</v>
      </c>
      <c r="R57" s="2" t="inlineStr">
        <is>
          <t>Åkergroda
Fläcknycklar</t>
        </is>
      </c>
      <c r="S57">
        <f>HYPERLINK("https://klasma.github.io/Logging_2083/artfynd/A 25338-2026 artfynd.xlsx", "A 25338-2026")</f>
        <v/>
      </c>
      <c r="T57">
        <f>HYPERLINK("https://klasma.github.io/Logging_2083/kartor/A 25338-2026 karta.png", "A 25338-2026")</f>
        <v/>
      </c>
      <c r="V57">
        <f>HYPERLINK("https://klasma.github.io/Logging_2083/klagomål/A 25338-2026 FSC-klagomål.docx", "A 25338-2026")</f>
        <v/>
      </c>
      <c r="W57">
        <f>HYPERLINK("https://klasma.github.io/Logging_2083/klagomålsmail/A 25338-2026 FSC-klagomål mail.docx", "A 25338-2026")</f>
        <v/>
      </c>
      <c r="X57">
        <f>HYPERLINK("https://klasma.github.io/Logging_2083/tillsyn/A 25338-2026 tillsynsbegäran.docx", "A 25338-2026")</f>
        <v/>
      </c>
      <c r="Y57">
        <f>HYPERLINK("https://klasma.github.io/Logging_2083/tillsynsmail/A 25338-2026 tillsynsbegäran mail.docx", "A 25338-2026")</f>
        <v/>
      </c>
    </row>
    <row r="58" ht="15" customHeight="1">
      <c r="A58" t="inlineStr">
        <is>
          <t>A 25420-2026</t>
        </is>
      </c>
      <c r="B58" s="1" t="n">
        <v>46177</v>
      </c>
      <c r="C58" s="1" t="n">
        <v>46202</v>
      </c>
      <c r="D58" t="inlineStr">
        <is>
          <t>DALARNAS LÄN</t>
        </is>
      </c>
      <c r="E58" t="inlineStr">
        <is>
          <t>HEDEMORA</t>
        </is>
      </c>
      <c r="F58" t="inlineStr">
        <is>
          <t>Sveaskog</t>
        </is>
      </c>
      <c r="G58" t="n">
        <v>2.3</v>
      </c>
      <c r="H58" t="n">
        <v>1</v>
      </c>
      <c r="I58" t="n">
        <v>0</v>
      </c>
      <c r="J58" t="n">
        <v>1</v>
      </c>
      <c r="K58" t="n">
        <v>0</v>
      </c>
      <c r="L58" t="n">
        <v>0</v>
      </c>
      <c r="M58" t="n">
        <v>0</v>
      </c>
      <c r="N58" t="n">
        <v>0</v>
      </c>
      <c r="O58" t="n">
        <v>1</v>
      </c>
      <c r="P58" t="n">
        <v>0</v>
      </c>
      <c r="Q58" t="n">
        <v>2</v>
      </c>
      <c r="R58" s="2" t="inlineStr">
        <is>
          <t>Gullpudra
Huggorm</t>
        </is>
      </c>
      <c r="S58">
        <f>HYPERLINK("https://klasma.github.io/Logging_2083/artfynd/A 25420-2026 artfynd.xlsx", "A 25420-2026")</f>
        <v/>
      </c>
      <c r="T58">
        <f>HYPERLINK("https://klasma.github.io/Logging_2083/kartor/A 25420-2026 karta.png", "A 25420-2026")</f>
        <v/>
      </c>
      <c r="V58">
        <f>HYPERLINK("https://klasma.github.io/Logging_2083/klagomål/A 25420-2026 FSC-klagomål.docx", "A 25420-2026")</f>
        <v/>
      </c>
      <c r="W58">
        <f>HYPERLINK("https://klasma.github.io/Logging_2083/klagomålsmail/A 25420-2026 FSC-klagomål mail.docx", "A 25420-2026")</f>
        <v/>
      </c>
      <c r="X58">
        <f>HYPERLINK("https://klasma.github.io/Logging_2083/tillsyn/A 25420-2026 tillsynsbegäran.docx", "A 25420-2026")</f>
        <v/>
      </c>
      <c r="Y58">
        <f>HYPERLINK("https://klasma.github.io/Logging_2083/tillsynsmail/A 25420-2026 tillsynsbegäran mail.docx", "A 25420-2026")</f>
        <v/>
      </c>
    </row>
    <row r="59" ht="15" customHeight="1">
      <c r="A59" t="inlineStr">
        <is>
          <t>A 25876-2026</t>
        </is>
      </c>
      <c r="B59" s="1" t="n">
        <v>46178</v>
      </c>
      <c r="C59" s="1" t="n">
        <v>46202</v>
      </c>
      <c r="D59" t="inlineStr">
        <is>
          <t>DALARNAS LÄN</t>
        </is>
      </c>
      <c r="E59" t="inlineStr">
        <is>
          <t>HEDEMORA</t>
        </is>
      </c>
      <c r="F59" t="inlineStr">
        <is>
          <t>Sveaskog</t>
        </is>
      </c>
      <c r="G59" t="n">
        <v>12.1</v>
      </c>
      <c r="H59" t="n">
        <v>1</v>
      </c>
      <c r="I59" t="n">
        <v>1</v>
      </c>
      <c r="J59" t="n">
        <v>0</v>
      </c>
      <c r="K59" t="n">
        <v>1</v>
      </c>
      <c r="L59" t="n">
        <v>0</v>
      </c>
      <c r="M59" t="n">
        <v>0</v>
      </c>
      <c r="N59" t="n">
        <v>0</v>
      </c>
      <c r="O59" t="n">
        <v>1</v>
      </c>
      <c r="P59" t="n">
        <v>1</v>
      </c>
      <c r="Q59" t="n">
        <v>2</v>
      </c>
      <c r="R59" s="2" t="inlineStr">
        <is>
          <t>Knärot
Bronshjon</t>
        </is>
      </c>
      <c r="S59">
        <f>HYPERLINK("https://klasma.github.io/Logging_2083/artfynd/A 25876-2026 artfynd.xlsx", "A 25876-2026")</f>
        <v/>
      </c>
      <c r="T59">
        <f>HYPERLINK("https://klasma.github.io/Logging_2083/kartor/A 25876-2026 karta.png", "A 25876-2026")</f>
        <v/>
      </c>
      <c r="U59">
        <f>HYPERLINK("https://klasma.github.io/Logging_2083/knärot/A 25876-2026 karta knärot.png", "A 25876-2026")</f>
        <v/>
      </c>
      <c r="V59">
        <f>HYPERLINK("https://klasma.github.io/Logging_2083/klagomål/A 25876-2026 FSC-klagomål.docx", "A 25876-2026")</f>
        <v/>
      </c>
      <c r="W59">
        <f>HYPERLINK("https://klasma.github.io/Logging_2083/klagomålsmail/A 25876-2026 FSC-klagomål mail.docx", "A 25876-2026")</f>
        <v/>
      </c>
      <c r="X59">
        <f>HYPERLINK("https://klasma.github.io/Logging_2083/tillsyn/A 25876-2026 tillsynsbegäran.docx", "A 25876-2026")</f>
        <v/>
      </c>
      <c r="Y59">
        <f>HYPERLINK("https://klasma.github.io/Logging_2083/tillsynsmail/A 25876-2026 tillsynsbegäran mail.docx", "A 25876-2026")</f>
        <v/>
      </c>
    </row>
    <row r="60" ht="15" customHeight="1">
      <c r="A60" t="inlineStr">
        <is>
          <t>A 25884-2026</t>
        </is>
      </c>
      <c r="B60" s="1" t="n">
        <v>46178</v>
      </c>
      <c r="C60" s="1" t="n">
        <v>46202</v>
      </c>
      <c r="D60" t="inlineStr">
        <is>
          <t>DALARNAS LÄN</t>
        </is>
      </c>
      <c r="E60" t="inlineStr">
        <is>
          <t>HEDEMORA</t>
        </is>
      </c>
      <c r="F60" t="inlineStr">
        <is>
          <t>Sveaskog</t>
        </is>
      </c>
      <c r="G60" t="n">
        <v>2.1</v>
      </c>
      <c r="H60" t="n">
        <v>2</v>
      </c>
      <c r="I60" t="n">
        <v>0</v>
      </c>
      <c r="J60" t="n">
        <v>1</v>
      </c>
      <c r="K60" t="n">
        <v>0</v>
      </c>
      <c r="L60" t="n">
        <v>0</v>
      </c>
      <c r="M60" t="n">
        <v>0</v>
      </c>
      <c r="N60" t="n">
        <v>0</v>
      </c>
      <c r="O60" t="n">
        <v>1</v>
      </c>
      <c r="P60" t="n">
        <v>0</v>
      </c>
      <c r="Q60" t="n">
        <v>2</v>
      </c>
      <c r="R60" s="2" t="inlineStr">
        <is>
          <t>Kungsörn
Tjäder</t>
        </is>
      </c>
      <c r="S60">
        <f>HYPERLINK("https://klasma.github.io/Logging_2083/artfynd/A 25884-2026 artfynd.xlsx", "A 25884-2026")</f>
        <v/>
      </c>
      <c r="T60">
        <f>HYPERLINK("https://klasma.github.io/Logging_2083/kartor/A 25884-2026 karta.png", "A 25884-2026")</f>
        <v/>
      </c>
      <c r="V60">
        <f>HYPERLINK("https://klasma.github.io/Logging_2083/klagomål/A 25884-2026 FSC-klagomål.docx", "A 25884-2026")</f>
        <v/>
      </c>
      <c r="W60">
        <f>HYPERLINK("https://klasma.github.io/Logging_2083/klagomålsmail/A 25884-2026 FSC-klagomål mail.docx", "A 25884-2026")</f>
        <v/>
      </c>
      <c r="X60">
        <f>HYPERLINK("https://klasma.github.io/Logging_2083/tillsyn/A 25884-2026 tillsynsbegäran.docx", "A 25884-2026")</f>
        <v/>
      </c>
      <c r="Y60">
        <f>HYPERLINK("https://klasma.github.io/Logging_2083/tillsynsmail/A 25884-2026 tillsynsbegäran mail.docx", "A 25884-2026")</f>
        <v/>
      </c>
      <c r="Z60">
        <f>HYPERLINK("https://klasma.github.io/Logging_2083/fåglar/A 25884-2026 prioriterade fågelarter.docx", "A 25884-2026")</f>
        <v/>
      </c>
    </row>
    <row r="61" ht="15" customHeight="1">
      <c r="A61" t="inlineStr">
        <is>
          <t>A 26904-2026</t>
        </is>
      </c>
      <c r="B61" s="1" t="n">
        <v>46185</v>
      </c>
      <c r="C61" s="1" t="n">
        <v>46202</v>
      </c>
      <c r="D61" t="inlineStr">
        <is>
          <t>DALARNAS LÄN</t>
        </is>
      </c>
      <c r="E61" t="inlineStr">
        <is>
          <t>HEDEMORA</t>
        </is>
      </c>
      <c r="F61" t="inlineStr">
        <is>
          <t>Sveaskog</t>
        </is>
      </c>
      <c r="G61" t="n">
        <v>3</v>
      </c>
      <c r="H61" t="n">
        <v>2</v>
      </c>
      <c r="I61" t="n">
        <v>0</v>
      </c>
      <c r="J61" t="n">
        <v>0</v>
      </c>
      <c r="K61" t="n">
        <v>0</v>
      </c>
      <c r="L61" t="n">
        <v>0</v>
      </c>
      <c r="M61" t="n">
        <v>0</v>
      </c>
      <c r="N61" t="n">
        <v>0</v>
      </c>
      <c r="O61" t="n">
        <v>0</v>
      </c>
      <c r="P61" t="n">
        <v>0</v>
      </c>
      <c r="Q61" t="n">
        <v>2</v>
      </c>
      <c r="R61" s="2" t="inlineStr">
        <is>
          <t>Spillkråka
Kungsfågel</t>
        </is>
      </c>
      <c r="S61">
        <f>HYPERLINK("https://klasma.github.io/Logging_2083/artfynd/A 26904-2026 artfynd.xlsx", "A 26904-2026")</f>
        <v/>
      </c>
      <c r="T61">
        <f>HYPERLINK("https://klasma.github.io/Logging_2083/kartor/A 26904-2026 karta.png", "A 26904-2026")</f>
        <v/>
      </c>
      <c r="V61">
        <f>HYPERLINK("https://klasma.github.io/Logging_2083/klagomål/A 26904-2026 FSC-klagomål.docx", "A 26904-2026")</f>
        <v/>
      </c>
      <c r="W61">
        <f>HYPERLINK("https://klasma.github.io/Logging_2083/klagomålsmail/A 26904-2026 FSC-klagomål mail.docx", "A 26904-2026")</f>
        <v/>
      </c>
      <c r="X61">
        <f>HYPERLINK("https://klasma.github.io/Logging_2083/tillsyn/A 26904-2026 tillsynsbegäran.docx", "A 26904-2026")</f>
        <v/>
      </c>
      <c r="Y61">
        <f>HYPERLINK("https://klasma.github.io/Logging_2083/tillsynsmail/A 26904-2026 tillsynsbegäran mail.docx", "A 26904-2026")</f>
        <v/>
      </c>
      <c r="Z61">
        <f>HYPERLINK("https://klasma.github.io/Logging_2083/fåglar/A 26904-2026 prioriterade fågelarter.docx", "A 26904-2026")</f>
        <v/>
      </c>
    </row>
    <row r="62" ht="15" customHeight="1">
      <c r="A62" t="inlineStr">
        <is>
          <t>A 22762-2026</t>
        </is>
      </c>
      <c r="B62" s="1" t="n">
        <v>46157</v>
      </c>
      <c r="C62" s="1" t="n">
        <v>46202</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53915-2022</t>
        </is>
      </c>
      <c r="B63" s="1" t="n">
        <v>44880</v>
      </c>
      <c r="C63" s="1" t="n">
        <v>46202</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46202</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46202</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46202</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63542-2023</t>
        </is>
      </c>
      <c r="B67" s="1" t="n">
        <v>45275</v>
      </c>
      <c r="C67" s="1" t="n">
        <v>46202</v>
      </c>
      <c r="D67" t="inlineStr">
        <is>
          <t>DALARNAS LÄN</t>
        </is>
      </c>
      <c r="E67" t="inlineStr">
        <is>
          <t>HEDEMORA</t>
        </is>
      </c>
      <c r="G67" t="n">
        <v>2.1</v>
      </c>
      <c r="H67" t="n">
        <v>1</v>
      </c>
      <c r="I67" t="n">
        <v>0</v>
      </c>
      <c r="J67" t="n">
        <v>0</v>
      </c>
      <c r="K67" t="n">
        <v>0</v>
      </c>
      <c r="L67" t="n">
        <v>0</v>
      </c>
      <c r="M67" t="n">
        <v>0</v>
      </c>
      <c r="N67" t="n">
        <v>0</v>
      </c>
      <c r="O67" t="n">
        <v>0</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v>
      </c>
      <c r="C68" s="1" t="n">
        <v>46202</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18572-2025</t>
        </is>
      </c>
      <c r="B69" s="1" t="n">
        <v>45763</v>
      </c>
      <c r="C69" s="1" t="n">
        <v>46202</v>
      </c>
      <c r="D69" t="inlineStr">
        <is>
          <t>DALARNAS LÄN</t>
        </is>
      </c>
      <c r="E69" t="inlineStr">
        <is>
          <t>HEDEMORA</t>
        </is>
      </c>
      <c r="G69" t="n">
        <v>0.9</v>
      </c>
      <c r="H69" t="n">
        <v>0</v>
      </c>
      <c r="I69" t="n">
        <v>0</v>
      </c>
      <c r="J69" t="n">
        <v>1</v>
      </c>
      <c r="K69" t="n">
        <v>0</v>
      </c>
      <c r="L69" t="n">
        <v>0</v>
      </c>
      <c r="M69" t="n">
        <v>0</v>
      </c>
      <c r="N69" t="n">
        <v>0</v>
      </c>
      <c r="O69" t="n">
        <v>1</v>
      </c>
      <c r="P69" t="n">
        <v>0</v>
      </c>
      <c r="Q69" t="n">
        <v>1</v>
      </c>
      <c r="R69" s="2" t="inlineStr">
        <is>
          <t>Vedskivlav</t>
        </is>
      </c>
      <c r="S69">
        <f>HYPERLINK("https://klasma.github.io/Logging_2083/artfynd/A 18572-2025 artfynd.xlsx", "A 18572-2025")</f>
        <v/>
      </c>
      <c r="T69">
        <f>HYPERLINK("https://klasma.github.io/Logging_2083/kartor/A 18572-2025 karta.png", "A 18572-2025")</f>
        <v/>
      </c>
      <c r="V69">
        <f>HYPERLINK("https://klasma.github.io/Logging_2083/klagomål/A 18572-2025 FSC-klagomål.docx", "A 18572-2025")</f>
        <v/>
      </c>
      <c r="W69">
        <f>HYPERLINK("https://klasma.github.io/Logging_2083/klagomålsmail/A 18572-2025 FSC-klagomål mail.docx", "A 18572-2025")</f>
        <v/>
      </c>
      <c r="X69">
        <f>HYPERLINK("https://klasma.github.io/Logging_2083/tillsyn/A 18572-2025 tillsynsbegäran.docx", "A 18572-2025")</f>
        <v/>
      </c>
      <c r="Y69">
        <f>HYPERLINK("https://klasma.github.io/Logging_2083/tillsynsmail/A 18572-2025 tillsynsbegäran mail.docx", "A 18572-2025")</f>
        <v/>
      </c>
    </row>
    <row r="70" ht="15" customHeight="1">
      <c r="A70" t="inlineStr">
        <is>
          <t>A 28183-2025</t>
        </is>
      </c>
      <c r="B70" s="1" t="n">
        <v>45818</v>
      </c>
      <c r="C70" s="1" t="n">
        <v>46202</v>
      </c>
      <c r="D70" t="inlineStr">
        <is>
          <t>DALARNAS LÄN</t>
        </is>
      </c>
      <c r="E70" t="inlineStr">
        <is>
          <t>HEDEMORA</t>
        </is>
      </c>
      <c r="F70" t="inlineStr">
        <is>
          <t>Sveaskog</t>
        </is>
      </c>
      <c r="G70" t="n">
        <v>2.7</v>
      </c>
      <c r="H70" t="n">
        <v>1</v>
      </c>
      <c r="I70" t="n">
        <v>0</v>
      </c>
      <c r="J70" t="n">
        <v>1</v>
      </c>
      <c r="K70" t="n">
        <v>0</v>
      </c>
      <c r="L70" t="n">
        <v>0</v>
      </c>
      <c r="M70" t="n">
        <v>0</v>
      </c>
      <c r="N70" t="n">
        <v>0</v>
      </c>
      <c r="O70" t="n">
        <v>1</v>
      </c>
      <c r="P70" t="n">
        <v>0</v>
      </c>
      <c r="Q70" t="n">
        <v>1</v>
      </c>
      <c r="R70" s="2" t="inlineStr">
        <is>
          <t>Brunlångöra</t>
        </is>
      </c>
      <c r="S70">
        <f>HYPERLINK("https://klasma.github.io/Logging_2083/artfynd/A 28183-2025 artfynd.xlsx", "A 28183-2025")</f>
        <v/>
      </c>
      <c r="T70">
        <f>HYPERLINK("https://klasma.github.io/Logging_2083/kartor/A 28183-2025 karta.png", "A 28183-2025")</f>
        <v/>
      </c>
      <c r="V70">
        <f>HYPERLINK("https://klasma.github.io/Logging_2083/klagomål/A 28183-2025 FSC-klagomål.docx", "A 28183-2025")</f>
        <v/>
      </c>
      <c r="W70">
        <f>HYPERLINK("https://klasma.github.io/Logging_2083/klagomålsmail/A 28183-2025 FSC-klagomål mail.docx", "A 28183-2025")</f>
        <v/>
      </c>
      <c r="X70">
        <f>HYPERLINK("https://klasma.github.io/Logging_2083/tillsyn/A 28183-2025 tillsynsbegäran.docx", "A 28183-2025")</f>
        <v/>
      </c>
      <c r="Y70">
        <f>HYPERLINK("https://klasma.github.io/Logging_2083/tillsynsmail/A 28183-2025 tillsynsbegäran mail.docx", "A 28183-2025")</f>
        <v/>
      </c>
    </row>
    <row r="71" ht="15" customHeight="1">
      <c r="A71" t="inlineStr">
        <is>
          <t>A 28181-2025</t>
        </is>
      </c>
      <c r="B71" s="1" t="n">
        <v>45818</v>
      </c>
      <c r="C71" s="1" t="n">
        <v>46202</v>
      </c>
      <c r="D71" t="inlineStr">
        <is>
          <t>DALARNAS LÄN</t>
        </is>
      </c>
      <c r="E71" t="inlineStr">
        <is>
          <t>HEDEMORA</t>
        </is>
      </c>
      <c r="F71" t="inlineStr">
        <is>
          <t>Sveaskog</t>
        </is>
      </c>
      <c r="G71" t="n">
        <v>2.4</v>
      </c>
      <c r="H71" t="n">
        <v>1</v>
      </c>
      <c r="I71" t="n">
        <v>1</v>
      </c>
      <c r="J71" t="n">
        <v>0</v>
      </c>
      <c r="K71" t="n">
        <v>0</v>
      </c>
      <c r="L71" t="n">
        <v>0</v>
      </c>
      <c r="M71" t="n">
        <v>0</v>
      </c>
      <c r="N71" t="n">
        <v>0</v>
      </c>
      <c r="O71" t="n">
        <v>0</v>
      </c>
      <c r="P71" t="n">
        <v>0</v>
      </c>
      <c r="Q71" t="n">
        <v>1</v>
      </c>
      <c r="R71" s="2" t="inlineStr">
        <is>
          <t>Plattlummer</t>
        </is>
      </c>
      <c r="S71">
        <f>HYPERLINK("https://klasma.github.io/Logging_2083/artfynd/A 28181-2025 artfynd.xlsx", "A 28181-2025")</f>
        <v/>
      </c>
      <c r="T71">
        <f>HYPERLINK("https://klasma.github.io/Logging_2083/kartor/A 28181-2025 karta.png", "A 28181-2025")</f>
        <v/>
      </c>
      <c r="V71">
        <f>HYPERLINK("https://klasma.github.io/Logging_2083/klagomål/A 28181-2025 FSC-klagomål.docx", "A 28181-2025")</f>
        <v/>
      </c>
      <c r="W71">
        <f>HYPERLINK("https://klasma.github.io/Logging_2083/klagomålsmail/A 28181-2025 FSC-klagomål mail.docx", "A 28181-2025")</f>
        <v/>
      </c>
      <c r="X71">
        <f>HYPERLINK("https://klasma.github.io/Logging_2083/tillsyn/A 28181-2025 tillsynsbegäran.docx", "A 28181-2025")</f>
        <v/>
      </c>
      <c r="Y71">
        <f>HYPERLINK("https://klasma.github.io/Logging_2083/tillsynsmail/A 28181-2025 tillsynsbegäran mail.docx", "A 28181-2025")</f>
        <v/>
      </c>
    </row>
    <row r="72" ht="15" customHeight="1">
      <c r="A72" t="inlineStr">
        <is>
          <t>A 62046-2022</t>
        </is>
      </c>
      <c r="B72" s="1" t="n">
        <v>44918</v>
      </c>
      <c r="C72" s="1" t="n">
        <v>46202</v>
      </c>
      <c r="D72" t="inlineStr">
        <is>
          <t>DALARNAS LÄN</t>
        </is>
      </c>
      <c r="E72" t="inlineStr">
        <is>
          <t>HEDEMORA</t>
        </is>
      </c>
      <c r="G72" t="n">
        <v>1.2</v>
      </c>
      <c r="H72" t="n">
        <v>0</v>
      </c>
      <c r="I72" t="n">
        <v>0</v>
      </c>
      <c r="J72" t="n">
        <v>1</v>
      </c>
      <c r="K72" t="n">
        <v>0</v>
      </c>
      <c r="L72" t="n">
        <v>0</v>
      </c>
      <c r="M72" t="n">
        <v>0</v>
      </c>
      <c r="N72" t="n">
        <v>0</v>
      </c>
      <c r="O72" t="n">
        <v>1</v>
      </c>
      <c r="P72" t="n">
        <v>0</v>
      </c>
      <c r="Q72" t="n">
        <v>1</v>
      </c>
      <c r="R72" s="2" t="inlineStr">
        <is>
          <t>Vårärt</t>
        </is>
      </c>
      <c r="S72">
        <f>HYPERLINK("https://klasma.github.io/Logging_2083/artfynd/A 62046-2022 artfynd.xlsx", "A 62046-2022")</f>
        <v/>
      </c>
      <c r="T72">
        <f>HYPERLINK("https://klasma.github.io/Logging_2083/kartor/A 62046-2022 karta.png", "A 62046-2022")</f>
        <v/>
      </c>
      <c r="V72">
        <f>HYPERLINK("https://klasma.github.io/Logging_2083/klagomål/A 62046-2022 FSC-klagomål.docx", "A 62046-2022")</f>
        <v/>
      </c>
      <c r="W72">
        <f>HYPERLINK("https://klasma.github.io/Logging_2083/klagomålsmail/A 62046-2022 FSC-klagomål mail.docx", "A 62046-2022")</f>
        <v/>
      </c>
      <c r="X72">
        <f>HYPERLINK("https://klasma.github.io/Logging_2083/tillsyn/A 62046-2022 tillsynsbegäran.docx", "A 62046-2022")</f>
        <v/>
      </c>
      <c r="Y72">
        <f>HYPERLINK("https://klasma.github.io/Logging_2083/tillsynsmail/A 62046-2022 tillsynsbegäran mail.docx", "A 62046-2022")</f>
        <v/>
      </c>
    </row>
    <row r="73" ht="15" customHeight="1">
      <c r="A73" t="inlineStr">
        <is>
          <t>A 51111-2021</t>
        </is>
      </c>
      <c r="B73" s="1" t="n">
        <v>44461</v>
      </c>
      <c r="C73" s="1" t="n">
        <v>46202</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53031-2023</t>
        </is>
      </c>
      <c r="B74" s="1" t="n">
        <v>45226</v>
      </c>
      <c r="C74" s="1" t="n">
        <v>46202</v>
      </c>
      <c r="D74" t="inlineStr">
        <is>
          <t>DALARNAS LÄN</t>
        </is>
      </c>
      <c r="E74" t="inlineStr">
        <is>
          <t>HEDEMORA</t>
        </is>
      </c>
      <c r="F74" t="inlineStr">
        <is>
          <t>Sveaskog</t>
        </is>
      </c>
      <c r="G74" t="n">
        <v>6.9</v>
      </c>
      <c r="H74" t="n">
        <v>1</v>
      </c>
      <c r="I74" t="n">
        <v>0</v>
      </c>
      <c r="J74" t="n">
        <v>1</v>
      </c>
      <c r="K74" t="n">
        <v>0</v>
      </c>
      <c r="L74" t="n">
        <v>0</v>
      </c>
      <c r="M74" t="n">
        <v>0</v>
      </c>
      <c r="N74" t="n">
        <v>0</v>
      </c>
      <c r="O74" t="n">
        <v>1</v>
      </c>
      <c r="P74" t="n">
        <v>0</v>
      </c>
      <c r="Q74" t="n">
        <v>1</v>
      </c>
      <c r="R74" s="2" t="inlineStr">
        <is>
          <t>Talltita</t>
        </is>
      </c>
      <c r="S74">
        <f>HYPERLINK("https://klasma.github.io/Logging_2083/artfynd/A 53031-2023 artfynd.xlsx", "A 53031-2023")</f>
        <v/>
      </c>
      <c r="T74">
        <f>HYPERLINK("https://klasma.github.io/Logging_2083/kartor/A 53031-2023 karta.png", "A 53031-2023")</f>
        <v/>
      </c>
      <c r="V74">
        <f>HYPERLINK("https://klasma.github.io/Logging_2083/klagomål/A 53031-2023 FSC-klagomål.docx", "A 53031-2023")</f>
        <v/>
      </c>
      <c r="W74">
        <f>HYPERLINK("https://klasma.github.io/Logging_2083/klagomålsmail/A 53031-2023 FSC-klagomål mail.docx", "A 53031-2023")</f>
        <v/>
      </c>
      <c r="X74">
        <f>HYPERLINK("https://klasma.github.io/Logging_2083/tillsyn/A 53031-2023 tillsynsbegäran.docx", "A 53031-2023")</f>
        <v/>
      </c>
      <c r="Y74">
        <f>HYPERLINK("https://klasma.github.io/Logging_2083/tillsynsmail/A 53031-2023 tillsynsbegäran mail.docx", "A 53031-2023")</f>
        <v/>
      </c>
      <c r="Z74">
        <f>HYPERLINK("https://klasma.github.io/Logging_2083/fåglar/A 53031-2023 prioriterade fågelarter.docx", "A 53031-2023")</f>
        <v/>
      </c>
    </row>
    <row r="75" ht="15" customHeight="1">
      <c r="A75" t="inlineStr">
        <is>
          <t>A 53924-2024</t>
        </is>
      </c>
      <c r="B75" s="1" t="n">
        <v>45615</v>
      </c>
      <c r="C75" s="1" t="n">
        <v>46202</v>
      </c>
      <c r="D75" t="inlineStr">
        <is>
          <t>DALARNAS LÄN</t>
        </is>
      </c>
      <c r="E75" t="inlineStr">
        <is>
          <t>HEDEMORA</t>
        </is>
      </c>
      <c r="F75" t="inlineStr">
        <is>
          <t>Sveaskog</t>
        </is>
      </c>
      <c r="G75" t="n">
        <v>3.8</v>
      </c>
      <c r="H75" t="n">
        <v>1</v>
      </c>
      <c r="I75" t="n">
        <v>1</v>
      </c>
      <c r="J75" t="n">
        <v>0</v>
      </c>
      <c r="K75" t="n">
        <v>0</v>
      </c>
      <c r="L75" t="n">
        <v>0</v>
      </c>
      <c r="M75" t="n">
        <v>0</v>
      </c>
      <c r="N75" t="n">
        <v>0</v>
      </c>
      <c r="O75" t="n">
        <v>0</v>
      </c>
      <c r="P75" t="n">
        <v>0</v>
      </c>
      <c r="Q75" t="n">
        <v>1</v>
      </c>
      <c r="R75" s="2" t="inlineStr">
        <is>
          <t>Plattlummer</t>
        </is>
      </c>
      <c r="S75">
        <f>HYPERLINK("https://klasma.github.io/Logging_2083/artfynd/A 53924-2024 artfynd.xlsx", "A 53924-2024")</f>
        <v/>
      </c>
      <c r="T75">
        <f>HYPERLINK("https://klasma.github.io/Logging_2083/kartor/A 53924-2024 karta.png", "A 53924-2024")</f>
        <v/>
      </c>
      <c r="V75">
        <f>HYPERLINK("https://klasma.github.io/Logging_2083/klagomål/A 53924-2024 FSC-klagomål.docx", "A 53924-2024")</f>
        <v/>
      </c>
      <c r="W75">
        <f>HYPERLINK("https://klasma.github.io/Logging_2083/klagomålsmail/A 53924-2024 FSC-klagomål mail.docx", "A 53924-2024")</f>
        <v/>
      </c>
      <c r="X75">
        <f>HYPERLINK("https://klasma.github.io/Logging_2083/tillsyn/A 53924-2024 tillsynsbegäran.docx", "A 53924-2024")</f>
        <v/>
      </c>
      <c r="Y75">
        <f>HYPERLINK("https://klasma.github.io/Logging_2083/tillsynsmail/A 53924-2024 tillsynsbegäran mail.docx", "A 53924-2024")</f>
        <v/>
      </c>
    </row>
    <row r="76" ht="15" customHeight="1">
      <c r="A76" t="inlineStr">
        <is>
          <t>A 17645-2022</t>
        </is>
      </c>
      <c r="B76" s="1" t="n">
        <v>44680</v>
      </c>
      <c r="C76" s="1" t="n">
        <v>46202</v>
      </c>
      <c r="D76" t="inlineStr">
        <is>
          <t>DALARNAS LÄN</t>
        </is>
      </c>
      <c r="E76" t="inlineStr">
        <is>
          <t>HEDEMORA</t>
        </is>
      </c>
      <c r="G76" t="n">
        <v>1.3</v>
      </c>
      <c r="H76" t="n">
        <v>0</v>
      </c>
      <c r="I76" t="n">
        <v>0</v>
      </c>
      <c r="J76" t="n">
        <v>0</v>
      </c>
      <c r="K76" t="n">
        <v>0</v>
      </c>
      <c r="L76" t="n">
        <v>1</v>
      </c>
      <c r="M76" t="n">
        <v>0</v>
      </c>
      <c r="N76" t="n">
        <v>0</v>
      </c>
      <c r="O76" t="n">
        <v>1</v>
      </c>
      <c r="P76" t="n">
        <v>1</v>
      </c>
      <c r="Q76" t="n">
        <v>1</v>
      </c>
      <c r="R76" s="2" t="inlineStr">
        <is>
          <t>Ask</t>
        </is>
      </c>
      <c r="S76">
        <f>HYPERLINK("https://klasma.github.io/Logging_2083/artfynd/A 17645-2022 artfynd.xlsx", "A 17645-2022")</f>
        <v/>
      </c>
      <c r="T76">
        <f>HYPERLINK("https://klasma.github.io/Logging_2083/kartor/A 17645-2022 karta.png", "A 17645-2022")</f>
        <v/>
      </c>
      <c r="V76">
        <f>HYPERLINK("https://klasma.github.io/Logging_2083/klagomål/A 17645-2022 FSC-klagomål.docx", "A 17645-2022")</f>
        <v/>
      </c>
      <c r="W76">
        <f>HYPERLINK("https://klasma.github.io/Logging_2083/klagomålsmail/A 17645-2022 FSC-klagomål mail.docx", "A 17645-2022")</f>
        <v/>
      </c>
      <c r="X76">
        <f>HYPERLINK("https://klasma.github.io/Logging_2083/tillsyn/A 17645-2022 tillsynsbegäran.docx", "A 17645-2022")</f>
        <v/>
      </c>
      <c r="Y76">
        <f>HYPERLINK("https://klasma.github.io/Logging_2083/tillsynsmail/A 17645-2022 tillsynsbegäran mail.docx", "A 17645-2022")</f>
        <v/>
      </c>
    </row>
    <row r="77" ht="15" customHeight="1">
      <c r="A77" t="inlineStr">
        <is>
          <t>A 17590-2025</t>
        </is>
      </c>
      <c r="B77" s="1" t="n">
        <v>45757</v>
      </c>
      <c r="C77" s="1" t="n">
        <v>46202</v>
      </c>
      <c r="D77" t="inlineStr">
        <is>
          <t>DALARNAS LÄN</t>
        </is>
      </c>
      <c r="E77" t="inlineStr">
        <is>
          <t>HEDEMORA</t>
        </is>
      </c>
      <c r="G77" t="n">
        <v>0.6</v>
      </c>
      <c r="H77" t="n">
        <v>0</v>
      </c>
      <c r="I77" t="n">
        <v>0</v>
      </c>
      <c r="J77" t="n">
        <v>0</v>
      </c>
      <c r="K77" t="n">
        <v>1</v>
      </c>
      <c r="L77" t="n">
        <v>0</v>
      </c>
      <c r="M77" t="n">
        <v>0</v>
      </c>
      <c r="N77" t="n">
        <v>0</v>
      </c>
      <c r="O77" t="n">
        <v>1</v>
      </c>
      <c r="P77" t="n">
        <v>1</v>
      </c>
      <c r="Q77" t="n">
        <v>1</v>
      </c>
      <c r="R77" s="2" t="inlineStr">
        <is>
          <t>Garnlav</t>
        </is>
      </c>
      <c r="S77">
        <f>HYPERLINK("https://klasma.github.io/Logging_2083/artfynd/A 17590-2025 artfynd.xlsx", "A 17590-2025")</f>
        <v/>
      </c>
      <c r="T77">
        <f>HYPERLINK("https://klasma.github.io/Logging_2083/kartor/A 17590-2025 karta.png", "A 17590-2025")</f>
        <v/>
      </c>
      <c r="V77">
        <f>HYPERLINK("https://klasma.github.io/Logging_2083/klagomål/A 17590-2025 FSC-klagomål.docx", "A 17590-2025")</f>
        <v/>
      </c>
      <c r="W77">
        <f>HYPERLINK("https://klasma.github.io/Logging_2083/klagomålsmail/A 17590-2025 FSC-klagomål mail.docx", "A 17590-2025")</f>
        <v/>
      </c>
      <c r="X77">
        <f>HYPERLINK("https://klasma.github.io/Logging_2083/tillsyn/A 17590-2025 tillsynsbegäran.docx", "A 17590-2025")</f>
        <v/>
      </c>
      <c r="Y77">
        <f>HYPERLINK("https://klasma.github.io/Logging_2083/tillsynsmail/A 17590-2025 tillsynsbegäran mail.docx", "A 17590-2025")</f>
        <v/>
      </c>
    </row>
    <row r="78" ht="15" customHeight="1">
      <c r="A78" t="inlineStr">
        <is>
          <t>A 15054-2025</t>
        </is>
      </c>
      <c r="B78" s="1" t="n">
        <v>45743</v>
      </c>
      <c r="C78" s="1" t="n">
        <v>46202</v>
      </c>
      <c r="D78" t="inlineStr">
        <is>
          <t>DALARNAS LÄN</t>
        </is>
      </c>
      <c r="E78" t="inlineStr">
        <is>
          <t>HEDEMORA</t>
        </is>
      </c>
      <c r="F78" t="inlineStr">
        <is>
          <t>Sveaskog</t>
        </is>
      </c>
      <c r="G78" t="n">
        <v>5.2</v>
      </c>
      <c r="H78" t="n">
        <v>0</v>
      </c>
      <c r="I78" t="n">
        <v>0</v>
      </c>
      <c r="J78" t="n">
        <v>1</v>
      </c>
      <c r="K78" t="n">
        <v>0</v>
      </c>
      <c r="L78" t="n">
        <v>0</v>
      </c>
      <c r="M78" t="n">
        <v>0</v>
      </c>
      <c r="N78" t="n">
        <v>0</v>
      </c>
      <c r="O78" t="n">
        <v>1</v>
      </c>
      <c r="P78" t="n">
        <v>0</v>
      </c>
      <c r="Q78" t="n">
        <v>1</v>
      </c>
      <c r="R78" s="2" t="inlineStr">
        <is>
          <t>Dropptaggsvamp</t>
        </is>
      </c>
      <c r="S78">
        <f>HYPERLINK("https://klasma.github.io/Logging_2083/artfynd/A 15054-2025 artfynd.xlsx", "A 15054-2025")</f>
        <v/>
      </c>
      <c r="T78">
        <f>HYPERLINK("https://klasma.github.io/Logging_2083/kartor/A 15054-2025 karta.png", "A 15054-2025")</f>
        <v/>
      </c>
      <c r="V78">
        <f>HYPERLINK("https://klasma.github.io/Logging_2083/klagomål/A 15054-2025 FSC-klagomål.docx", "A 15054-2025")</f>
        <v/>
      </c>
      <c r="W78">
        <f>HYPERLINK("https://klasma.github.io/Logging_2083/klagomålsmail/A 15054-2025 FSC-klagomål mail.docx", "A 15054-2025")</f>
        <v/>
      </c>
      <c r="X78">
        <f>HYPERLINK("https://klasma.github.io/Logging_2083/tillsyn/A 15054-2025 tillsynsbegäran.docx", "A 15054-2025")</f>
        <v/>
      </c>
      <c r="Y78">
        <f>HYPERLINK("https://klasma.github.io/Logging_2083/tillsynsmail/A 15054-2025 tillsynsbegäran mail.docx", "A 15054-2025")</f>
        <v/>
      </c>
    </row>
    <row r="79" ht="15" customHeight="1">
      <c r="A79" t="inlineStr">
        <is>
          <t>A 15058-2025</t>
        </is>
      </c>
      <c r="B79" s="1" t="n">
        <v>45743</v>
      </c>
      <c r="C79" s="1" t="n">
        <v>46202</v>
      </c>
      <c r="D79" t="inlineStr">
        <is>
          <t>DALARNAS LÄN</t>
        </is>
      </c>
      <c r="E79" t="inlineStr">
        <is>
          <t>HEDEMORA</t>
        </is>
      </c>
      <c r="F79" t="inlineStr">
        <is>
          <t>Sveaskog</t>
        </is>
      </c>
      <c r="G79" t="n">
        <v>4.2</v>
      </c>
      <c r="H79" t="n">
        <v>0</v>
      </c>
      <c r="I79" t="n">
        <v>0</v>
      </c>
      <c r="J79" t="n">
        <v>1</v>
      </c>
      <c r="K79" t="n">
        <v>0</v>
      </c>
      <c r="L79" t="n">
        <v>0</v>
      </c>
      <c r="M79" t="n">
        <v>0</v>
      </c>
      <c r="N79" t="n">
        <v>0</v>
      </c>
      <c r="O79" t="n">
        <v>1</v>
      </c>
      <c r="P79" t="n">
        <v>0</v>
      </c>
      <c r="Q79" t="n">
        <v>1</v>
      </c>
      <c r="R79" s="2" t="inlineStr">
        <is>
          <t>Dropptaggsvamp</t>
        </is>
      </c>
      <c r="S79">
        <f>HYPERLINK("https://klasma.github.io/Logging_2083/artfynd/A 15058-2025 artfynd.xlsx", "A 15058-2025")</f>
        <v/>
      </c>
      <c r="T79">
        <f>HYPERLINK("https://klasma.github.io/Logging_2083/kartor/A 15058-2025 karta.png", "A 15058-2025")</f>
        <v/>
      </c>
      <c r="V79">
        <f>HYPERLINK("https://klasma.github.io/Logging_2083/klagomål/A 15058-2025 FSC-klagomål.docx", "A 15058-2025")</f>
        <v/>
      </c>
      <c r="W79">
        <f>HYPERLINK("https://klasma.github.io/Logging_2083/klagomålsmail/A 15058-2025 FSC-klagomål mail.docx", "A 15058-2025")</f>
        <v/>
      </c>
      <c r="X79">
        <f>HYPERLINK("https://klasma.github.io/Logging_2083/tillsyn/A 15058-2025 tillsynsbegäran.docx", "A 15058-2025")</f>
        <v/>
      </c>
      <c r="Y79">
        <f>HYPERLINK("https://klasma.github.io/Logging_2083/tillsynsmail/A 15058-2025 tillsynsbegäran mail.docx", "A 15058-2025")</f>
        <v/>
      </c>
    </row>
    <row r="80" ht="15" customHeight="1">
      <c r="A80" t="inlineStr">
        <is>
          <t>A 19094-2025</t>
        </is>
      </c>
      <c r="B80" s="1" t="n">
        <v>45767</v>
      </c>
      <c r="C80" s="1" t="n">
        <v>46202</v>
      </c>
      <c r="D80" t="inlineStr">
        <is>
          <t>DALARNAS LÄN</t>
        </is>
      </c>
      <c r="E80" t="inlineStr">
        <is>
          <t>HEDEMORA</t>
        </is>
      </c>
      <c r="F80" t="inlineStr">
        <is>
          <t>Sveaskog</t>
        </is>
      </c>
      <c r="G80" t="n">
        <v>16.9</v>
      </c>
      <c r="H80" t="n">
        <v>1</v>
      </c>
      <c r="I80" t="n">
        <v>1</v>
      </c>
      <c r="J80" t="n">
        <v>0</v>
      </c>
      <c r="K80" t="n">
        <v>0</v>
      </c>
      <c r="L80" t="n">
        <v>0</v>
      </c>
      <c r="M80" t="n">
        <v>0</v>
      </c>
      <c r="N80" t="n">
        <v>0</v>
      </c>
      <c r="O80" t="n">
        <v>0</v>
      </c>
      <c r="P80" t="n">
        <v>0</v>
      </c>
      <c r="Q80" t="n">
        <v>1</v>
      </c>
      <c r="R80" s="2" t="inlineStr">
        <is>
          <t>Plattlummer</t>
        </is>
      </c>
      <c r="S80">
        <f>HYPERLINK("https://klasma.github.io/Logging_2083/artfynd/A 19094-2025 artfynd.xlsx", "A 19094-2025")</f>
        <v/>
      </c>
      <c r="T80">
        <f>HYPERLINK("https://klasma.github.io/Logging_2083/kartor/A 19094-2025 karta.png", "A 19094-2025")</f>
        <v/>
      </c>
      <c r="V80">
        <f>HYPERLINK("https://klasma.github.io/Logging_2083/klagomål/A 19094-2025 FSC-klagomål.docx", "A 19094-2025")</f>
        <v/>
      </c>
      <c r="W80">
        <f>HYPERLINK("https://klasma.github.io/Logging_2083/klagomålsmail/A 19094-2025 FSC-klagomål mail.docx", "A 19094-2025")</f>
        <v/>
      </c>
      <c r="X80">
        <f>HYPERLINK("https://klasma.github.io/Logging_2083/tillsyn/A 19094-2025 tillsynsbegäran.docx", "A 19094-2025")</f>
        <v/>
      </c>
      <c r="Y80">
        <f>HYPERLINK("https://klasma.github.io/Logging_2083/tillsynsmail/A 19094-2025 tillsynsbegäran mail.docx", "A 19094-2025")</f>
        <v/>
      </c>
    </row>
    <row r="81" ht="15" customHeight="1">
      <c r="A81" t="inlineStr">
        <is>
          <t>A 39396-2025</t>
        </is>
      </c>
      <c r="B81" s="1" t="n">
        <v>45889</v>
      </c>
      <c r="C81" s="1" t="n">
        <v>46202</v>
      </c>
      <c r="D81" t="inlineStr">
        <is>
          <t>DALARNAS LÄN</t>
        </is>
      </c>
      <c r="E81" t="inlineStr">
        <is>
          <t>HEDEMORA</t>
        </is>
      </c>
      <c r="F81" t="inlineStr">
        <is>
          <t>Sveaskog</t>
        </is>
      </c>
      <c r="G81" t="n">
        <v>4.3</v>
      </c>
      <c r="H81" t="n">
        <v>1</v>
      </c>
      <c r="I81" t="n">
        <v>0</v>
      </c>
      <c r="J81" t="n">
        <v>0</v>
      </c>
      <c r="K81" t="n">
        <v>1</v>
      </c>
      <c r="L81" t="n">
        <v>0</v>
      </c>
      <c r="M81" t="n">
        <v>0</v>
      </c>
      <c r="N81" t="n">
        <v>0</v>
      </c>
      <c r="O81" t="n">
        <v>1</v>
      </c>
      <c r="P81" t="n">
        <v>1</v>
      </c>
      <c r="Q81" t="n">
        <v>1</v>
      </c>
      <c r="R81" s="2" t="inlineStr">
        <is>
          <t>Knärot</t>
        </is>
      </c>
      <c r="S81">
        <f>HYPERLINK("https://klasma.github.io/Logging_2083/artfynd/A 39396-2025 artfynd.xlsx", "A 39396-2025")</f>
        <v/>
      </c>
      <c r="T81">
        <f>HYPERLINK("https://klasma.github.io/Logging_2083/kartor/A 39396-2025 karta.png", "A 39396-2025")</f>
        <v/>
      </c>
      <c r="U81">
        <f>HYPERLINK("https://klasma.github.io/Logging_2083/knärot/A 39396-2025 karta knärot.png", "A 39396-2025")</f>
        <v/>
      </c>
      <c r="V81">
        <f>HYPERLINK("https://klasma.github.io/Logging_2083/klagomål/A 39396-2025 FSC-klagomål.docx", "A 39396-2025")</f>
        <v/>
      </c>
      <c r="W81">
        <f>HYPERLINK("https://klasma.github.io/Logging_2083/klagomålsmail/A 39396-2025 FSC-klagomål mail.docx", "A 39396-2025")</f>
        <v/>
      </c>
      <c r="X81">
        <f>HYPERLINK("https://klasma.github.io/Logging_2083/tillsyn/A 39396-2025 tillsynsbegäran.docx", "A 39396-2025")</f>
        <v/>
      </c>
      <c r="Y81">
        <f>HYPERLINK("https://klasma.github.io/Logging_2083/tillsynsmail/A 39396-2025 tillsynsbegäran mail.docx", "A 39396-2025")</f>
        <v/>
      </c>
    </row>
    <row r="82" ht="15" customHeight="1">
      <c r="A82" t="inlineStr">
        <is>
          <t>A 33968-2025</t>
        </is>
      </c>
      <c r="B82" s="1" t="n">
        <v>45842</v>
      </c>
      <c r="C82" s="1" t="n">
        <v>46202</v>
      </c>
      <c r="D82" t="inlineStr">
        <is>
          <t>DALARNAS LÄN</t>
        </is>
      </c>
      <c r="E82" t="inlineStr">
        <is>
          <t>HEDEMORA</t>
        </is>
      </c>
      <c r="F82" t="inlineStr">
        <is>
          <t>Sveaskog</t>
        </is>
      </c>
      <c r="G82" t="n">
        <v>1.6</v>
      </c>
      <c r="H82" t="n">
        <v>1</v>
      </c>
      <c r="I82" t="n">
        <v>1</v>
      </c>
      <c r="J82" t="n">
        <v>0</v>
      </c>
      <c r="K82" t="n">
        <v>0</v>
      </c>
      <c r="L82" t="n">
        <v>0</v>
      </c>
      <c r="M82" t="n">
        <v>0</v>
      </c>
      <c r="N82" t="n">
        <v>0</v>
      </c>
      <c r="O82" t="n">
        <v>0</v>
      </c>
      <c r="P82" t="n">
        <v>0</v>
      </c>
      <c r="Q82" t="n">
        <v>1</v>
      </c>
      <c r="R82" s="2" t="inlineStr">
        <is>
          <t>Plattlummer</t>
        </is>
      </c>
      <c r="S82">
        <f>HYPERLINK("https://klasma.github.io/Logging_2083/artfynd/A 33968-2025 artfynd.xlsx", "A 33968-2025")</f>
        <v/>
      </c>
      <c r="T82">
        <f>HYPERLINK("https://klasma.github.io/Logging_2083/kartor/A 33968-2025 karta.png", "A 33968-2025")</f>
        <v/>
      </c>
      <c r="V82">
        <f>HYPERLINK("https://klasma.github.io/Logging_2083/klagomål/A 33968-2025 FSC-klagomål.docx", "A 33968-2025")</f>
        <v/>
      </c>
      <c r="W82">
        <f>HYPERLINK("https://klasma.github.io/Logging_2083/klagomålsmail/A 33968-2025 FSC-klagomål mail.docx", "A 33968-2025")</f>
        <v/>
      </c>
      <c r="X82">
        <f>HYPERLINK("https://klasma.github.io/Logging_2083/tillsyn/A 33968-2025 tillsynsbegäran.docx", "A 33968-2025")</f>
        <v/>
      </c>
      <c r="Y82">
        <f>HYPERLINK("https://klasma.github.io/Logging_2083/tillsynsmail/A 33968-2025 tillsynsbegäran mail.docx", "A 33968-2025")</f>
        <v/>
      </c>
    </row>
    <row r="83" ht="15" customHeight="1">
      <c r="A83" t="inlineStr">
        <is>
          <t>A 15036-2025</t>
        </is>
      </c>
      <c r="B83" s="1" t="n">
        <v>45743</v>
      </c>
      <c r="C83" s="1" t="n">
        <v>46202</v>
      </c>
      <c r="D83" t="inlineStr">
        <is>
          <t>DALARNAS LÄN</t>
        </is>
      </c>
      <c r="E83" t="inlineStr">
        <is>
          <t>HEDEMORA</t>
        </is>
      </c>
      <c r="F83" t="inlineStr">
        <is>
          <t>Sveaskog</t>
        </is>
      </c>
      <c r="G83" t="n">
        <v>20.4</v>
      </c>
      <c r="H83" t="n">
        <v>0</v>
      </c>
      <c r="I83" t="n">
        <v>0</v>
      </c>
      <c r="J83" t="n">
        <v>1</v>
      </c>
      <c r="K83" t="n">
        <v>0</v>
      </c>
      <c r="L83" t="n">
        <v>0</v>
      </c>
      <c r="M83" t="n">
        <v>0</v>
      </c>
      <c r="N83" t="n">
        <v>0</v>
      </c>
      <c r="O83" t="n">
        <v>1</v>
      </c>
      <c r="P83" t="n">
        <v>0</v>
      </c>
      <c r="Q83" t="n">
        <v>1</v>
      </c>
      <c r="R83" s="2" t="inlineStr">
        <is>
          <t>Kolflarnlav</t>
        </is>
      </c>
      <c r="S83">
        <f>HYPERLINK("https://klasma.github.io/Logging_2083/artfynd/A 15036-2025 artfynd.xlsx", "A 15036-2025")</f>
        <v/>
      </c>
      <c r="T83">
        <f>HYPERLINK("https://klasma.github.io/Logging_2083/kartor/A 15036-2025 karta.png", "A 15036-2025")</f>
        <v/>
      </c>
      <c r="V83">
        <f>HYPERLINK("https://klasma.github.io/Logging_2083/klagomål/A 15036-2025 FSC-klagomål.docx", "A 15036-2025")</f>
        <v/>
      </c>
      <c r="W83">
        <f>HYPERLINK("https://klasma.github.io/Logging_2083/klagomålsmail/A 15036-2025 FSC-klagomål mail.docx", "A 15036-2025")</f>
        <v/>
      </c>
      <c r="X83">
        <f>HYPERLINK("https://klasma.github.io/Logging_2083/tillsyn/A 15036-2025 tillsynsbegäran.docx", "A 15036-2025")</f>
        <v/>
      </c>
      <c r="Y83">
        <f>HYPERLINK("https://klasma.github.io/Logging_2083/tillsynsmail/A 15036-2025 tillsynsbegäran mail.docx", "A 15036-2025")</f>
        <v/>
      </c>
    </row>
    <row r="84" ht="15" customHeight="1">
      <c r="A84" t="inlineStr">
        <is>
          <t>A 13986-2023</t>
        </is>
      </c>
      <c r="B84" s="1" t="n">
        <v>45008</v>
      </c>
      <c r="C84" s="1" t="n">
        <v>46202</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21514-2024</t>
        </is>
      </c>
      <c r="B85" s="1" t="n">
        <v>45441</v>
      </c>
      <c r="C85" s="1" t="n">
        <v>46202</v>
      </c>
      <c r="D85" t="inlineStr">
        <is>
          <t>DALARNAS LÄN</t>
        </is>
      </c>
      <c r="E85" t="inlineStr">
        <is>
          <t>HEDEMORA</t>
        </is>
      </c>
      <c r="G85" t="n">
        <v>1.5</v>
      </c>
      <c r="H85" t="n">
        <v>0</v>
      </c>
      <c r="I85" t="n">
        <v>0</v>
      </c>
      <c r="J85" t="n">
        <v>0</v>
      </c>
      <c r="K85" t="n">
        <v>1</v>
      </c>
      <c r="L85" t="n">
        <v>0</v>
      </c>
      <c r="M85" t="n">
        <v>0</v>
      </c>
      <c r="N85" t="n">
        <v>0</v>
      </c>
      <c r="O85" t="n">
        <v>1</v>
      </c>
      <c r="P85" t="n">
        <v>1</v>
      </c>
      <c r="Q85" t="n">
        <v>1</v>
      </c>
      <c r="R85" s="2" t="inlineStr">
        <is>
          <t>Igelkott</t>
        </is>
      </c>
      <c r="S85">
        <f>HYPERLINK("https://klasma.github.io/Logging_2083/artfynd/A 21514-2024 artfynd.xlsx", "A 21514-2024")</f>
        <v/>
      </c>
      <c r="T85">
        <f>HYPERLINK("https://klasma.github.io/Logging_2083/kartor/A 21514-2024 karta.png", "A 21514-2024")</f>
        <v/>
      </c>
      <c r="V85">
        <f>HYPERLINK("https://klasma.github.io/Logging_2083/klagomål/A 21514-2024 FSC-klagomål.docx", "A 21514-2024")</f>
        <v/>
      </c>
      <c r="W85">
        <f>HYPERLINK("https://klasma.github.io/Logging_2083/klagomålsmail/A 21514-2024 FSC-klagomål mail.docx", "A 21514-2024")</f>
        <v/>
      </c>
      <c r="X85">
        <f>HYPERLINK("https://klasma.github.io/Logging_2083/tillsyn/A 21514-2024 tillsynsbegäran.docx", "A 21514-2024")</f>
        <v/>
      </c>
      <c r="Y85">
        <f>HYPERLINK("https://klasma.github.io/Logging_2083/tillsynsmail/A 21514-2024 tillsynsbegäran mail.docx", "A 21514-2024")</f>
        <v/>
      </c>
    </row>
    <row r="86" ht="15" customHeight="1">
      <c r="A86" t="inlineStr">
        <is>
          <t>A 7719-2026</t>
        </is>
      </c>
      <c r="B86" s="1" t="n">
        <v>46062</v>
      </c>
      <c r="C86" s="1" t="n">
        <v>46202</v>
      </c>
      <c r="D86" t="inlineStr">
        <is>
          <t>DALARNAS LÄN</t>
        </is>
      </c>
      <c r="E86" t="inlineStr">
        <is>
          <t>HEDEMORA</t>
        </is>
      </c>
      <c r="G86" t="n">
        <v>1.1</v>
      </c>
      <c r="H86" t="n">
        <v>0</v>
      </c>
      <c r="I86" t="n">
        <v>1</v>
      </c>
      <c r="J86" t="n">
        <v>0</v>
      </c>
      <c r="K86" t="n">
        <v>0</v>
      </c>
      <c r="L86" t="n">
        <v>0</v>
      </c>
      <c r="M86" t="n">
        <v>0</v>
      </c>
      <c r="N86" t="n">
        <v>0</v>
      </c>
      <c r="O86" t="n">
        <v>0</v>
      </c>
      <c r="P86" t="n">
        <v>0</v>
      </c>
      <c r="Q86" t="n">
        <v>1</v>
      </c>
      <c r="R86" s="2" t="inlineStr">
        <is>
          <t>Bronshjon</t>
        </is>
      </c>
      <c r="S86">
        <f>HYPERLINK("https://klasma.github.io/Logging_2083/artfynd/A 7719-2026 artfynd.xlsx", "A 7719-2026")</f>
        <v/>
      </c>
      <c r="T86">
        <f>HYPERLINK("https://klasma.github.io/Logging_2083/kartor/A 7719-2026 karta.png", "A 7719-2026")</f>
        <v/>
      </c>
      <c r="U86">
        <f>HYPERLINK("https://klasma.github.io/Logging_2083/knärot/A 7719-2026 karta knärot.png", "A 7719-2026")</f>
        <v/>
      </c>
      <c r="V86">
        <f>HYPERLINK("https://klasma.github.io/Logging_2083/klagomål/A 7719-2026 FSC-klagomål.docx", "A 7719-2026")</f>
        <v/>
      </c>
      <c r="W86">
        <f>HYPERLINK("https://klasma.github.io/Logging_2083/klagomålsmail/A 7719-2026 FSC-klagomål mail.docx", "A 7719-2026")</f>
        <v/>
      </c>
      <c r="X86">
        <f>HYPERLINK("https://klasma.github.io/Logging_2083/tillsyn/A 7719-2026 tillsynsbegäran.docx", "A 7719-2026")</f>
        <v/>
      </c>
      <c r="Y86">
        <f>HYPERLINK("https://klasma.github.io/Logging_2083/tillsynsmail/A 7719-2026 tillsynsbegäran mail.docx", "A 7719-2026")</f>
        <v/>
      </c>
    </row>
    <row r="87" ht="15" customHeight="1">
      <c r="A87" t="inlineStr">
        <is>
          <t>A 23642-2026</t>
        </is>
      </c>
      <c r="B87" s="1" t="n">
        <v>46164</v>
      </c>
      <c r="C87" s="1" t="n">
        <v>46202</v>
      </c>
      <c r="D87" t="inlineStr">
        <is>
          <t>DALARNAS LÄN</t>
        </is>
      </c>
      <c r="E87" t="inlineStr">
        <is>
          <t>HEDEMORA</t>
        </is>
      </c>
      <c r="F87" t="inlineStr">
        <is>
          <t>Sveaskog</t>
        </is>
      </c>
      <c r="G87" t="n">
        <v>6.3</v>
      </c>
      <c r="H87" t="n">
        <v>1</v>
      </c>
      <c r="I87" t="n">
        <v>0</v>
      </c>
      <c r="J87" t="n">
        <v>0</v>
      </c>
      <c r="K87" t="n">
        <v>0</v>
      </c>
      <c r="L87" t="n">
        <v>0</v>
      </c>
      <c r="M87" t="n">
        <v>0</v>
      </c>
      <c r="N87" t="n">
        <v>0</v>
      </c>
      <c r="O87" t="n">
        <v>0</v>
      </c>
      <c r="P87" t="n">
        <v>0</v>
      </c>
      <c r="Q87" t="n">
        <v>1</v>
      </c>
      <c r="R87" s="2" t="inlineStr">
        <is>
          <t>Revlummer</t>
        </is>
      </c>
      <c r="S87">
        <f>HYPERLINK("https://klasma.github.io/Logging_2083/artfynd/A 23642-2026 artfynd.xlsx", "A 23642-2026")</f>
        <v/>
      </c>
      <c r="T87">
        <f>HYPERLINK("https://klasma.github.io/Logging_2083/kartor/A 23642-2026 karta.png", "A 23642-2026")</f>
        <v/>
      </c>
      <c r="V87">
        <f>HYPERLINK("https://klasma.github.io/Logging_2083/klagomål/A 23642-2026 FSC-klagomål.docx", "A 23642-2026")</f>
        <v/>
      </c>
      <c r="W87">
        <f>HYPERLINK("https://klasma.github.io/Logging_2083/klagomålsmail/A 23642-2026 FSC-klagomål mail.docx", "A 23642-2026")</f>
        <v/>
      </c>
      <c r="X87">
        <f>HYPERLINK("https://klasma.github.io/Logging_2083/tillsyn/A 23642-2026 tillsynsbegäran.docx", "A 23642-2026")</f>
        <v/>
      </c>
      <c r="Y87">
        <f>HYPERLINK("https://klasma.github.io/Logging_2083/tillsynsmail/A 23642-2026 tillsynsbegäran mail.docx", "A 23642-2026")</f>
        <v/>
      </c>
    </row>
    <row r="88" ht="15" customHeight="1">
      <c r="A88" t="inlineStr">
        <is>
          <t>A 25422-2026</t>
        </is>
      </c>
      <c r="B88" s="1" t="n">
        <v>46177</v>
      </c>
      <c r="C88" s="1" t="n">
        <v>46202</v>
      </c>
      <c r="D88" t="inlineStr">
        <is>
          <t>DALARNAS LÄN</t>
        </is>
      </c>
      <c r="E88" t="inlineStr">
        <is>
          <t>HEDEMORA</t>
        </is>
      </c>
      <c r="F88" t="inlineStr">
        <is>
          <t>Sveaskog</t>
        </is>
      </c>
      <c r="G88" t="n">
        <v>0.8</v>
      </c>
      <c r="H88" t="n">
        <v>0</v>
      </c>
      <c r="I88" t="n">
        <v>0</v>
      </c>
      <c r="J88" t="n">
        <v>1</v>
      </c>
      <c r="K88" t="n">
        <v>0</v>
      </c>
      <c r="L88" t="n">
        <v>0</v>
      </c>
      <c r="M88" t="n">
        <v>0</v>
      </c>
      <c r="N88" t="n">
        <v>0</v>
      </c>
      <c r="O88" t="n">
        <v>1</v>
      </c>
      <c r="P88" t="n">
        <v>0</v>
      </c>
      <c r="Q88" t="n">
        <v>1</v>
      </c>
      <c r="R88" s="2" t="inlineStr">
        <is>
          <t>Tallticka</t>
        </is>
      </c>
      <c r="S88">
        <f>HYPERLINK("https://klasma.github.io/Logging_2083/artfynd/A 25422-2026 artfynd.xlsx", "A 25422-2026")</f>
        <v/>
      </c>
      <c r="T88">
        <f>HYPERLINK("https://klasma.github.io/Logging_2083/kartor/A 25422-2026 karta.png", "A 25422-2026")</f>
        <v/>
      </c>
      <c r="V88">
        <f>HYPERLINK("https://klasma.github.io/Logging_2083/klagomål/A 25422-2026 FSC-klagomål.docx", "A 25422-2026")</f>
        <v/>
      </c>
      <c r="W88">
        <f>HYPERLINK("https://klasma.github.io/Logging_2083/klagomålsmail/A 25422-2026 FSC-klagomål mail.docx", "A 25422-2026")</f>
        <v/>
      </c>
      <c r="X88">
        <f>HYPERLINK("https://klasma.github.io/Logging_2083/tillsyn/A 25422-2026 tillsynsbegäran.docx", "A 25422-2026")</f>
        <v/>
      </c>
      <c r="Y88">
        <f>HYPERLINK("https://klasma.github.io/Logging_2083/tillsynsmail/A 25422-2026 tillsynsbegäran mail.docx", "A 25422-2026")</f>
        <v/>
      </c>
    </row>
    <row r="89" ht="15" customHeight="1">
      <c r="A89" t="inlineStr">
        <is>
          <t>A 21007-2026</t>
        </is>
      </c>
      <c r="B89" s="1" t="n">
        <v>46142</v>
      </c>
      <c r="C89" s="1" t="n">
        <v>46202</v>
      </c>
      <c r="D89" t="inlineStr">
        <is>
          <t>DALARNAS LÄN</t>
        </is>
      </c>
      <c r="E89" t="inlineStr">
        <is>
          <t>HEDEMORA</t>
        </is>
      </c>
      <c r="F89" t="inlineStr">
        <is>
          <t>Sveaskog</t>
        </is>
      </c>
      <c r="G89" t="n">
        <v>7.5</v>
      </c>
      <c r="H89" t="n">
        <v>0</v>
      </c>
      <c r="I89" t="n">
        <v>0</v>
      </c>
      <c r="J89" t="n">
        <v>1</v>
      </c>
      <c r="K89" t="n">
        <v>0</v>
      </c>
      <c r="L89" t="n">
        <v>0</v>
      </c>
      <c r="M89" t="n">
        <v>0</v>
      </c>
      <c r="N89" t="n">
        <v>0</v>
      </c>
      <c r="O89" t="n">
        <v>1</v>
      </c>
      <c r="P89" t="n">
        <v>0</v>
      </c>
      <c r="Q89" t="n">
        <v>1</v>
      </c>
      <c r="R89" s="2" t="inlineStr">
        <is>
          <t>Veckticka</t>
        </is>
      </c>
      <c r="S89">
        <f>HYPERLINK("https://klasma.github.io/Logging_2083/artfynd/A 21007-2026 artfynd.xlsx", "A 21007-2026")</f>
        <v/>
      </c>
      <c r="T89">
        <f>HYPERLINK("https://klasma.github.io/Logging_2083/kartor/A 21007-2026 karta.png", "A 21007-2026")</f>
        <v/>
      </c>
      <c r="V89">
        <f>HYPERLINK("https://klasma.github.io/Logging_2083/klagomål/A 21007-2026 FSC-klagomål.docx", "A 21007-2026")</f>
        <v/>
      </c>
      <c r="W89">
        <f>HYPERLINK("https://klasma.github.io/Logging_2083/klagomålsmail/A 21007-2026 FSC-klagomål mail.docx", "A 21007-2026")</f>
        <v/>
      </c>
      <c r="X89">
        <f>HYPERLINK("https://klasma.github.io/Logging_2083/tillsyn/A 21007-2026 tillsynsbegäran.docx", "A 21007-2026")</f>
        <v/>
      </c>
      <c r="Y89">
        <f>HYPERLINK("https://klasma.github.io/Logging_2083/tillsynsmail/A 21007-2026 tillsynsbegäran mail.docx", "A 21007-2026")</f>
        <v/>
      </c>
    </row>
    <row r="90" ht="15" customHeight="1">
      <c r="A90" t="inlineStr">
        <is>
          <t>A 21029-2026</t>
        </is>
      </c>
      <c r="B90" s="1" t="n">
        <v>46146</v>
      </c>
      <c r="C90" s="1" t="n">
        <v>46202</v>
      </c>
      <c r="D90" t="inlineStr">
        <is>
          <t>DALARNAS LÄN</t>
        </is>
      </c>
      <c r="E90" t="inlineStr">
        <is>
          <t>HEDEMORA</t>
        </is>
      </c>
      <c r="F90" t="inlineStr">
        <is>
          <t>Sveaskog</t>
        </is>
      </c>
      <c r="G90" t="n">
        <v>25.7</v>
      </c>
      <c r="H90" t="n">
        <v>1</v>
      </c>
      <c r="I90" t="n">
        <v>0</v>
      </c>
      <c r="J90" t="n">
        <v>1</v>
      </c>
      <c r="K90" t="n">
        <v>0</v>
      </c>
      <c r="L90" t="n">
        <v>0</v>
      </c>
      <c r="M90" t="n">
        <v>0</v>
      </c>
      <c r="N90" t="n">
        <v>0</v>
      </c>
      <c r="O90" t="n">
        <v>1</v>
      </c>
      <c r="P90" t="n">
        <v>0</v>
      </c>
      <c r="Q90" t="n">
        <v>1</v>
      </c>
      <c r="R90" s="2" t="inlineStr">
        <is>
          <t>Nordfladdermus</t>
        </is>
      </c>
      <c r="S90">
        <f>HYPERLINK("https://klasma.github.io/Logging_2083/artfynd/A 21029-2026 artfynd.xlsx", "A 21029-2026")</f>
        <v/>
      </c>
      <c r="T90">
        <f>HYPERLINK("https://klasma.github.io/Logging_2083/kartor/A 21029-2026 karta.png", "A 21029-2026")</f>
        <v/>
      </c>
      <c r="V90">
        <f>HYPERLINK("https://klasma.github.io/Logging_2083/klagomål/A 21029-2026 FSC-klagomål.docx", "A 21029-2026")</f>
        <v/>
      </c>
      <c r="W90">
        <f>HYPERLINK("https://klasma.github.io/Logging_2083/klagomålsmail/A 21029-2026 FSC-klagomål mail.docx", "A 21029-2026")</f>
        <v/>
      </c>
      <c r="X90">
        <f>HYPERLINK("https://klasma.github.io/Logging_2083/tillsyn/A 21029-2026 tillsynsbegäran.docx", "A 21029-2026")</f>
        <v/>
      </c>
      <c r="Y90">
        <f>HYPERLINK("https://klasma.github.io/Logging_2083/tillsynsmail/A 21029-2026 tillsynsbegäran mail.docx", "A 21029-2026")</f>
        <v/>
      </c>
    </row>
    <row r="91" ht="15" customHeight="1">
      <c r="A91" t="inlineStr">
        <is>
          <t>A 15274-2026</t>
        </is>
      </c>
      <c r="B91" s="1" t="n">
        <v>46105</v>
      </c>
      <c r="C91" s="1" t="n">
        <v>46202</v>
      </c>
      <c r="D91" t="inlineStr">
        <is>
          <t>DALARNAS LÄN</t>
        </is>
      </c>
      <c r="E91" t="inlineStr">
        <is>
          <t>HEDEMORA</t>
        </is>
      </c>
      <c r="F91" t="inlineStr">
        <is>
          <t>Övriga Aktiebolag</t>
        </is>
      </c>
      <c r="G91" t="n">
        <v>1.9</v>
      </c>
      <c r="H91" t="n">
        <v>0</v>
      </c>
      <c r="I91" t="n">
        <v>0</v>
      </c>
      <c r="J91" t="n">
        <v>1</v>
      </c>
      <c r="K91" t="n">
        <v>0</v>
      </c>
      <c r="L91" t="n">
        <v>0</v>
      </c>
      <c r="M91" t="n">
        <v>0</v>
      </c>
      <c r="N91" t="n">
        <v>0</v>
      </c>
      <c r="O91" t="n">
        <v>1</v>
      </c>
      <c r="P91" t="n">
        <v>0</v>
      </c>
      <c r="Q91" t="n">
        <v>1</v>
      </c>
      <c r="R91" s="2" t="inlineStr">
        <is>
          <t>Ullticka</t>
        </is>
      </c>
      <c r="S91">
        <f>HYPERLINK("https://klasma.github.io/Logging_2083/artfynd/A 15274-2026 artfynd.xlsx", "A 15274-2026")</f>
        <v/>
      </c>
      <c r="T91">
        <f>HYPERLINK("https://klasma.github.io/Logging_2083/kartor/A 15274-2026 karta.png", "A 15274-2026")</f>
        <v/>
      </c>
      <c r="V91">
        <f>HYPERLINK("https://klasma.github.io/Logging_2083/klagomål/A 15274-2026 FSC-klagomål.docx", "A 15274-2026")</f>
        <v/>
      </c>
      <c r="W91">
        <f>HYPERLINK("https://klasma.github.io/Logging_2083/klagomålsmail/A 15274-2026 FSC-klagomål mail.docx", "A 15274-2026")</f>
        <v/>
      </c>
      <c r="X91">
        <f>HYPERLINK("https://klasma.github.io/Logging_2083/tillsyn/A 15274-2026 tillsynsbegäran.docx", "A 15274-2026")</f>
        <v/>
      </c>
      <c r="Y91">
        <f>HYPERLINK("https://klasma.github.io/Logging_2083/tillsynsmail/A 15274-2026 tillsynsbegäran mail.docx", "A 15274-2026")</f>
        <v/>
      </c>
    </row>
    <row r="92" ht="15" customHeight="1">
      <c r="A92" t="inlineStr">
        <is>
          <t>A 28868-2026</t>
        </is>
      </c>
      <c r="B92" s="1" t="n">
        <v>46199</v>
      </c>
      <c r="C92" s="1" t="n">
        <v>46202</v>
      </c>
      <c r="D92" t="inlineStr">
        <is>
          <t>DALARNAS LÄN</t>
        </is>
      </c>
      <c r="E92" t="inlineStr">
        <is>
          <t>HEDEMORA</t>
        </is>
      </c>
      <c r="F92" t="inlineStr">
        <is>
          <t>Sveaskog</t>
        </is>
      </c>
      <c r="G92" t="n">
        <v>12</v>
      </c>
      <c r="H92" t="n">
        <v>0</v>
      </c>
      <c r="I92" t="n">
        <v>0</v>
      </c>
      <c r="J92" t="n">
        <v>1</v>
      </c>
      <c r="K92" t="n">
        <v>0</v>
      </c>
      <c r="L92" t="n">
        <v>0</v>
      </c>
      <c r="M92" t="n">
        <v>0</v>
      </c>
      <c r="N92" t="n">
        <v>0</v>
      </c>
      <c r="O92" t="n">
        <v>1</v>
      </c>
      <c r="P92" t="n">
        <v>0</v>
      </c>
      <c r="Q92" t="n">
        <v>1</v>
      </c>
      <c r="R92" s="2" t="inlineStr">
        <is>
          <t>Dofttaggsvamp</t>
        </is>
      </c>
      <c r="S92">
        <f>HYPERLINK("https://klasma.github.io/Logging_2083/artfynd/A 28868-2026 artfynd.xlsx", "A 28868-2026")</f>
        <v/>
      </c>
      <c r="T92">
        <f>HYPERLINK("https://klasma.github.io/Logging_2083/kartor/A 28868-2026 karta.png", "A 28868-2026")</f>
        <v/>
      </c>
      <c r="V92">
        <f>HYPERLINK("https://klasma.github.io/Logging_2083/klagomål/A 28868-2026 FSC-klagomål.docx", "A 28868-2026")</f>
        <v/>
      </c>
      <c r="W92">
        <f>HYPERLINK("https://klasma.github.io/Logging_2083/klagomålsmail/A 28868-2026 FSC-klagomål mail.docx", "A 28868-2026")</f>
        <v/>
      </c>
      <c r="X92">
        <f>HYPERLINK("https://klasma.github.io/Logging_2083/tillsyn/A 28868-2026 tillsynsbegäran.docx", "A 28868-2026")</f>
        <v/>
      </c>
      <c r="Y92">
        <f>HYPERLINK("https://klasma.github.io/Logging_2083/tillsynsmail/A 28868-2026 tillsynsbegäran mail.docx", "A 28868-2026")</f>
        <v/>
      </c>
    </row>
    <row r="93" ht="15" customHeight="1">
      <c r="A93" t="inlineStr">
        <is>
          <t>A 67288-2021</t>
        </is>
      </c>
      <c r="B93" s="1" t="n">
        <v>44523</v>
      </c>
      <c r="C93" s="1" t="n">
        <v>46202</v>
      </c>
      <c r="D93" t="inlineStr">
        <is>
          <t>DALARNAS LÄN</t>
        </is>
      </c>
      <c r="E93" t="inlineStr">
        <is>
          <t>HEDEMORA</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295-2022</t>
        </is>
      </c>
      <c r="B94" s="1" t="n">
        <v>44565</v>
      </c>
      <c r="C94" s="1" t="n">
        <v>46202</v>
      </c>
      <c r="D94" t="inlineStr">
        <is>
          <t>DALARNAS LÄN</t>
        </is>
      </c>
      <c r="E94" t="inlineStr">
        <is>
          <t>HEDEMORA</t>
        </is>
      </c>
      <c r="G94" t="n">
        <v>0.5</v>
      </c>
      <c r="H94" t="n">
        <v>0</v>
      </c>
      <c r="I94" t="n">
        <v>0</v>
      </c>
      <c r="J94" t="n">
        <v>0</v>
      </c>
      <c r="K94" t="n">
        <v>0</v>
      </c>
      <c r="L94" t="n">
        <v>0</v>
      </c>
      <c r="M94" t="n">
        <v>0</v>
      </c>
      <c r="N94" t="n">
        <v>0</v>
      </c>
      <c r="O94" t="n">
        <v>0</v>
      </c>
      <c r="P94" t="n">
        <v>0</v>
      </c>
      <c r="Q94" t="n">
        <v>0</v>
      </c>
      <c r="R94" s="2" t="inlineStr"/>
    </row>
    <row r="95" ht="15" customHeight="1">
      <c r="A95" t="inlineStr">
        <is>
          <t>A 32748-2022</t>
        </is>
      </c>
      <c r="B95" s="1" t="n">
        <v>44783</v>
      </c>
      <c r="C95" s="1" t="n">
        <v>46202</v>
      </c>
      <c r="D95" t="inlineStr">
        <is>
          <t>DALARNAS LÄN</t>
        </is>
      </c>
      <c r="E95" t="inlineStr">
        <is>
          <t>HEDEMORA</t>
        </is>
      </c>
      <c r="G95" t="n">
        <v>1</v>
      </c>
      <c r="H95" t="n">
        <v>0</v>
      </c>
      <c r="I95" t="n">
        <v>0</v>
      </c>
      <c r="J95" t="n">
        <v>0</v>
      </c>
      <c r="K95" t="n">
        <v>0</v>
      </c>
      <c r="L95" t="n">
        <v>0</v>
      </c>
      <c r="M95" t="n">
        <v>0</v>
      </c>
      <c r="N95" t="n">
        <v>0</v>
      </c>
      <c r="O95" t="n">
        <v>0</v>
      </c>
      <c r="P95" t="n">
        <v>0</v>
      </c>
      <c r="Q95" t="n">
        <v>0</v>
      </c>
      <c r="R95" s="2" t="inlineStr"/>
    </row>
    <row r="96" ht="15" customHeight="1">
      <c r="A96" t="inlineStr">
        <is>
          <t>A 55195-2021</t>
        </is>
      </c>
      <c r="B96" s="1" t="n">
        <v>44475</v>
      </c>
      <c r="C96" s="1" t="n">
        <v>46202</v>
      </c>
      <c r="D96" t="inlineStr">
        <is>
          <t>DALARNAS LÄN</t>
        </is>
      </c>
      <c r="E96" t="inlineStr">
        <is>
          <t>HEDEMORA</t>
        </is>
      </c>
      <c r="G96" t="n">
        <v>0.9</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46202</v>
      </c>
      <c r="D97" t="inlineStr">
        <is>
          <t>DALARNAS LÄN</t>
        </is>
      </c>
      <c r="E97" t="inlineStr">
        <is>
          <t>HEDEMORA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45741-2022</t>
        </is>
      </c>
      <c r="B98" s="1" t="n">
        <v>44846</v>
      </c>
      <c r="C98" s="1" t="n">
        <v>46202</v>
      </c>
      <c r="D98" t="inlineStr">
        <is>
          <t>DALARNAS LÄN</t>
        </is>
      </c>
      <c r="E98" t="inlineStr">
        <is>
          <t>HEDEMORA</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52425-2021</t>
        </is>
      </c>
      <c r="B99" s="1" t="n">
        <v>44466</v>
      </c>
      <c r="C99" s="1" t="n">
        <v>46202</v>
      </c>
      <c r="D99" t="inlineStr">
        <is>
          <t>DALARNAS LÄN</t>
        </is>
      </c>
      <c r="E99" t="inlineStr">
        <is>
          <t>HEDEMORA</t>
        </is>
      </c>
      <c r="G99" t="n">
        <v>2.3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46202</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46202</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46202</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35806-2022</t>
        </is>
      </c>
      <c r="B103" s="1" t="n">
        <v>44802</v>
      </c>
      <c r="C103" s="1" t="n">
        <v>46202</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50441-2021</t>
        </is>
      </c>
      <c r="B104" s="1" t="n">
        <v>44456</v>
      </c>
      <c r="C104" s="1" t="n">
        <v>46202</v>
      </c>
      <c r="D104" t="inlineStr">
        <is>
          <t>DALARNAS LÄN</t>
        </is>
      </c>
      <c r="E104" t="inlineStr">
        <is>
          <t>HEDEMORA</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46202</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59495-2021</t>
        </is>
      </c>
      <c r="B106" s="1" t="n">
        <v>44491</v>
      </c>
      <c r="C106" s="1" t="n">
        <v>46202</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46202</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46202</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52511-2021</t>
        </is>
      </c>
      <c r="B109" s="1" t="n">
        <v>44466</v>
      </c>
      <c r="C109" s="1" t="n">
        <v>46202</v>
      </c>
      <c r="D109" t="inlineStr">
        <is>
          <t>DALARNAS LÄN</t>
        </is>
      </c>
      <c r="E109" t="inlineStr">
        <is>
          <t>HEDEMORA</t>
        </is>
      </c>
      <c r="G109" t="n">
        <v>0.6</v>
      </c>
      <c r="H109" t="n">
        <v>0</v>
      </c>
      <c r="I109" t="n">
        <v>0</v>
      </c>
      <c r="J109" t="n">
        <v>0</v>
      </c>
      <c r="K109" t="n">
        <v>0</v>
      </c>
      <c r="L109" t="n">
        <v>0</v>
      </c>
      <c r="M109" t="n">
        <v>0</v>
      </c>
      <c r="N109" t="n">
        <v>0</v>
      </c>
      <c r="O109" t="n">
        <v>0</v>
      </c>
      <c r="P109" t="n">
        <v>0</v>
      </c>
      <c r="Q109" t="n">
        <v>0</v>
      </c>
      <c r="R109" s="2" t="inlineStr"/>
    </row>
    <row r="110" ht="15" customHeight="1">
      <c r="A110" t="inlineStr">
        <is>
          <t>A 39506-2022</t>
        </is>
      </c>
      <c r="B110" s="1" t="n">
        <v>44817</v>
      </c>
      <c r="C110" s="1" t="n">
        <v>46202</v>
      </c>
      <c r="D110" t="inlineStr">
        <is>
          <t>DALARNAS LÄN</t>
        </is>
      </c>
      <c r="E110" t="inlineStr">
        <is>
          <t>HEDEMORA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v>
      </c>
      <c r="C111" s="1" t="n">
        <v>46202</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46202</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46202</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46202</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46202</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60418-2021</t>
        </is>
      </c>
      <c r="B116" s="1" t="n">
        <v>44495</v>
      </c>
      <c r="C116" s="1" t="n">
        <v>46202</v>
      </c>
      <c r="D116" t="inlineStr">
        <is>
          <t>DALARNAS LÄN</t>
        </is>
      </c>
      <c r="E116" t="inlineStr">
        <is>
          <t>HEDEMORA</t>
        </is>
      </c>
      <c r="G116" t="n">
        <v>0.7</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46202</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30205-2022</t>
        </is>
      </c>
      <c r="B118" s="1" t="n">
        <v>44757</v>
      </c>
      <c r="C118" s="1" t="n">
        <v>46202</v>
      </c>
      <c r="D118" t="inlineStr">
        <is>
          <t>DALARNAS LÄN</t>
        </is>
      </c>
      <c r="E118" t="inlineStr">
        <is>
          <t>HEDEMORA</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53586-2023</t>
        </is>
      </c>
      <c r="B119" s="1" t="n">
        <v>45230</v>
      </c>
      <c r="C119" s="1" t="n">
        <v>46202</v>
      </c>
      <c r="D119" t="inlineStr">
        <is>
          <t>DALARNAS LÄN</t>
        </is>
      </c>
      <c r="E119" t="inlineStr">
        <is>
          <t>HEDEMORA</t>
        </is>
      </c>
      <c r="G119" t="n">
        <v>2.4</v>
      </c>
      <c r="H119" t="n">
        <v>0</v>
      </c>
      <c r="I119" t="n">
        <v>0</v>
      </c>
      <c r="J119" t="n">
        <v>0</v>
      </c>
      <c r="K119" t="n">
        <v>0</v>
      </c>
      <c r="L119" t="n">
        <v>0</v>
      </c>
      <c r="M119" t="n">
        <v>0</v>
      </c>
      <c r="N119" t="n">
        <v>0</v>
      </c>
      <c r="O119" t="n">
        <v>0</v>
      </c>
      <c r="P119" t="n">
        <v>0</v>
      </c>
      <c r="Q119" t="n">
        <v>0</v>
      </c>
      <c r="R119" s="2" t="inlineStr"/>
    </row>
    <row r="120" ht="15" customHeight="1">
      <c r="A120" t="inlineStr">
        <is>
          <t>A 18579-2025</t>
        </is>
      </c>
      <c r="B120" s="1" t="n">
        <v>45763</v>
      </c>
      <c r="C120" s="1" t="n">
        <v>46202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61533-2021</t>
        </is>
      </c>
      <c r="B121" s="1" t="n">
        <v>44501</v>
      </c>
      <c r="C121" s="1" t="n">
        <v>46202</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v>
      </c>
      <c r="C122" s="1" t="n">
        <v>46202</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50333-2023</t>
        </is>
      </c>
      <c r="B123" s="1" t="n">
        <v>45216</v>
      </c>
      <c r="C123" s="1" t="n">
        <v>46202</v>
      </c>
      <c r="D123" t="inlineStr">
        <is>
          <t>DALARNAS LÄN</t>
        </is>
      </c>
      <c r="E123" t="inlineStr">
        <is>
          <t>HEDEMORA</t>
        </is>
      </c>
      <c r="G123" t="n">
        <v>1.1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46202</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v>
      </c>
      <c r="C125" s="1" t="n">
        <v>46202</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46202</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7916-2024</t>
        </is>
      </c>
      <c r="B127" s="1" t="n">
        <v>45350</v>
      </c>
      <c r="C127" s="1" t="n">
        <v>46202</v>
      </c>
      <c r="D127" t="inlineStr">
        <is>
          <t>DALARNAS LÄN</t>
        </is>
      </c>
      <c r="E127" t="inlineStr">
        <is>
          <t>HEDEMORA</t>
        </is>
      </c>
      <c r="G127" t="n">
        <v>5.8</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46202</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v>
      </c>
      <c r="C129" s="1" t="n">
        <v>46202</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v>
      </c>
      <c r="C130" s="1" t="n">
        <v>46202</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69624-2021</t>
        </is>
      </c>
      <c r="B131" s="1" t="n">
        <v>44532</v>
      </c>
      <c r="C131" s="1" t="n">
        <v>46202</v>
      </c>
      <c r="D131" t="inlineStr">
        <is>
          <t>DALARNAS LÄN</t>
        </is>
      </c>
      <c r="E131" t="inlineStr">
        <is>
          <t>HEDEMORA</t>
        </is>
      </c>
      <c r="G131" t="n">
        <v>0.4</v>
      </c>
      <c r="H131" t="n">
        <v>0</v>
      </c>
      <c r="I131" t="n">
        <v>0</v>
      </c>
      <c r="J131" t="n">
        <v>0</v>
      </c>
      <c r="K131" t="n">
        <v>0</v>
      </c>
      <c r="L131" t="n">
        <v>0</v>
      </c>
      <c r="M131" t="n">
        <v>0</v>
      </c>
      <c r="N131" t="n">
        <v>0</v>
      </c>
      <c r="O131" t="n">
        <v>0</v>
      </c>
      <c r="P131" t="n">
        <v>0</v>
      </c>
      <c r="Q131" t="n">
        <v>0</v>
      </c>
      <c r="R131" s="2" t="inlineStr"/>
    </row>
    <row r="132" ht="15" customHeight="1">
      <c r="A132" t="inlineStr">
        <is>
          <t>A 53922-2024</t>
        </is>
      </c>
      <c r="B132" s="1" t="n">
        <v>45615</v>
      </c>
      <c r="C132" s="1" t="n">
        <v>46202</v>
      </c>
      <c r="D132" t="inlineStr">
        <is>
          <t>DALARNAS LÄN</t>
        </is>
      </c>
      <c r="E132" t="inlineStr">
        <is>
          <t>HEDEMORA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34409-2022</t>
        </is>
      </c>
      <c r="B133" s="1" t="n">
        <v>44792</v>
      </c>
      <c r="C133" s="1" t="n">
        <v>46202</v>
      </c>
      <c r="D133" t="inlineStr">
        <is>
          <t>DALARNAS LÄN</t>
        </is>
      </c>
      <c r="E133" t="inlineStr">
        <is>
          <t>HEDEMORA</t>
        </is>
      </c>
      <c r="G133" t="n">
        <v>13.7</v>
      </c>
      <c r="H133" t="n">
        <v>0</v>
      </c>
      <c r="I133" t="n">
        <v>0</v>
      </c>
      <c r="J133" t="n">
        <v>0</v>
      </c>
      <c r="K133" t="n">
        <v>0</v>
      </c>
      <c r="L133" t="n">
        <v>0</v>
      </c>
      <c r="M133" t="n">
        <v>0</v>
      </c>
      <c r="N133" t="n">
        <v>0</v>
      </c>
      <c r="O133" t="n">
        <v>0</v>
      </c>
      <c r="P133" t="n">
        <v>0</v>
      </c>
      <c r="Q133" t="n">
        <v>0</v>
      </c>
      <c r="R133" s="2" t="inlineStr"/>
    </row>
    <row r="134" ht="15" customHeight="1">
      <c r="A134" t="inlineStr">
        <is>
          <t>A 40938-2021</t>
        </is>
      </c>
      <c r="B134" s="1" t="n">
        <v>44421</v>
      </c>
      <c r="C134" s="1" t="n">
        <v>46202</v>
      </c>
      <c r="D134" t="inlineStr">
        <is>
          <t>DALARNAS LÄN</t>
        </is>
      </c>
      <c r="E134" t="inlineStr">
        <is>
          <t>HEDEMORA</t>
        </is>
      </c>
      <c r="G134" t="n">
        <v>1</v>
      </c>
      <c r="H134" t="n">
        <v>0</v>
      </c>
      <c r="I134" t="n">
        <v>0</v>
      </c>
      <c r="J134" t="n">
        <v>0</v>
      </c>
      <c r="K134" t="n">
        <v>0</v>
      </c>
      <c r="L134" t="n">
        <v>0</v>
      </c>
      <c r="M134" t="n">
        <v>0</v>
      </c>
      <c r="N134" t="n">
        <v>0</v>
      </c>
      <c r="O134" t="n">
        <v>0</v>
      </c>
      <c r="P134" t="n">
        <v>0</v>
      </c>
      <c r="Q134" t="n">
        <v>0</v>
      </c>
      <c r="R134" s="2" t="inlineStr"/>
    </row>
    <row r="135" ht="15" customHeight="1">
      <c r="A135" t="inlineStr">
        <is>
          <t>A 34932-2024</t>
        </is>
      </c>
      <c r="B135" s="1" t="n">
        <v>45527</v>
      </c>
      <c r="C135" s="1" t="n">
        <v>46202</v>
      </c>
      <c r="D135" t="inlineStr">
        <is>
          <t>DALARNAS LÄN</t>
        </is>
      </c>
      <c r="E135" t="inlineStr">
        <is>
          <t>HEDEMORA</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37761-2024</t>
        </is>
      </c>
      <c r="B136" s="1" t="n">
        <v>45541</v>
      </c>
      <c r="C136" s="1" t="n">
        <v>46202</v>
      </c>
      <c r="D136" t="inlineStr">
        <is>
          <t>DALARNAS LÄN</t>
        </is>
      </c>
      <c r="E136" t="inlineStr">
        <is>
          <t>HEDEMORA</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40801-2024</t>
        </is>
      </c>
      <c r="B137" s="1" t="n">
        <v>45558</v>
      </c>
      <c r="C137" s="1" t="n">
        <v>46202</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1976-2022</t>
        </is>
      </c>
      <c r="B138" s="1" t="n">
        <v>44575</v>
      </c>
      <c r="C138" s="1" t="n">
        <v>46202</v>
      </c>
      <c r="D138" t="inlineStr">
        <is>
          <t>DALARNAS LÄN</t>
        </is>
      </c>
      <c r="E138" t="inlineStr">
        <is>
          <t>HEDEMORA</t>
        </is>
      </c>
      <c r="G138" t="n">
        <v>3.2</v>
      </c>
      <c r="H138" t="n">
        <v>0</v>
      </c>
      <c r="I138" t="n">
        <v>0</v>
      </c>
      <c r="J138" t="n">
        <v>0</v>
      </c>
      <c r="K138" t="n">
        <v>0</v>
      </c>
      <c r="L138" t="n">
        <v>0</v>
      </c>
      <c r="M138" t="n">
        <v>0</v>
      </c>
      <c r="N138" t="n">
        <v>0</v>
      </c>
      <c r="O138" t="n">
        <v>0</v>
      </c>
      <c r="P138" t="n">
        <v>0</v>
      </c>
      <c r="Q138" t="n">
        <v>0</v>
      </c>
      <c r="R138" s="2" t="inlineStr"/>
    </row>
    <row r="139" ht="15" customHeight="1">
      <c r="A139" t="inlineStr">
        <is>
          <t>A 27610-2024</t>
        </is>
      </c>
      <c r="B139" s="1" t="n">
        <v>45474</v>
      </c>
      <c r="C139" s="1" t="n">
        <v>46202</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29303-2023</t>
        </is>
      </c>
      <c r="B140" s="1" t="n">
        <v>45105</v>
      </c>
      <c r="C140" s="1" t="n">
        <v>46202</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27609-2024</t>
        </is>
      </c>
      <c r="B141" s="1" t="n">
        <v>45474</v>
      </c>
      <c r="C141" s="1" t="n">
        <v>46202</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59232-2023</t>
        </is>
      </c>
      <c r="B142" s="1" t="n">
        <v>45253</v>
      </c>
      <c r="C142" s="1" t="n">
        <v>46202</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6881-2024</t>
        </is>
      </c>
      <c r="B143" s="1" t="n">
        <v>45342</v>
      </c>
      <c r="C143" s="1" t="n">
        <v>46202</v>
      </c>
      <c r="D143" t="inlineStr">
        <is>
          <t>DALARNAS LÄN</t>
        </is>
      </c>
      <c r="E143" t="inlineStr">
        <is>
          <t>HEDEMORA</t>
        </is>
      </c>
      <c r="G143" t="n">
        <v>2.5</v>
      </c>
      <c r="H143" t="n">
        <v>0</v>
      </c>
      <c r="I143" t="n">
        <v>0</v>
      </c>
      <c r="J143" t="n">
        <v>0</v>
      </c>
      <c r="K143" t="n">
        <v>0</v>
      </c>
      <c r="L143" t="n">
        <v>0</v>
      </c>
      <c r="M143" t="n">
        <v>0</v>
      </c>
      <c r="N143" t="n">
        <v>0</v>
      </c>
      <c r="O143" t="n">
        <v>0</v>
      </c>
      <c r="P143" t="n">
        <v>0</v>
      </c>
      <c r="Q143" t="n">
        <v>0</v>
      </c>
      <c r="R143" s="2" t="inlineStr"/>
    </row>
    <row r="144" ht="15" customHeight="1">
      <c r="A144" t="inlineStr">
        <is>
          <t>A 5010-2023</t>
        </is>
      </c>
      <c r="B144" s="1" t="n">
        <v>44956</v>
      </c>
      <c r="C144" s="1" t="n">
        <v>46202</v>
      </c>
      <c r="D144" t="inlineStr">
        <is>
          <t>DALARNAS LÄN</t>
        </is>
      </c>
      <c r="E144" t="inlineStr">
        <is>
          <t>HEDEMORA</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3089-2024</t>
        </is>
      </c>
      <c r="B145" s="1" t="n">
        <v>45316</v>
      </c>
      <c r="C145" s="1" t="n">
        <v>46202</v>
      </c>
      <c r="D145" t="inlineStr">
        <is>
          <t>DALARNAS LÄN</t>
        </is>
      </c>
      <c r="E145" t="inlineStr">
        <is>
          <t>HEDEMORA</t>
        </is>
      </c>
      <c r="G145" t="n">
        <v>5.5</v>
      </c>
      <c r="H145" t="n">
        <v>0</v>
      </c>
      <c r="I145" t="n">
        <v>0</v>
      </c>
      <c r="J145" t="n">
        <v>0</v>
      </c>
      <c r="K145" t="n">
        <v>0</v>
      </c>
      <c r="L145" t="n">
        <v>0</v>
      </c>
      <c r="M145" t="n">
        <v>0</v>
      </c>
      <c r="N145" t="n">
        <v>0</v>
      </c>
      <c r="O145" t="n">
        <v>0</v>
      </c>
      <c r="P145" t="n">
        <v>0</v>
      </c>
      <c r="Q145" t="n">
        <v>0</v>
      </c>
      <c r="R145" s="2" t="inlineStr"/>
    </row>
    <row r="146" ht="15" customHeight="1">
      <c r="A146" t="inlineStr">
        <is>
          <t>A 37762-2024</t>
        </is>
      </c>
      <c r="B146" s="1" t="n">
        <v>45541</v>
      </c>
      <c r="C146" s="1" t="n">
        <v>46202</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25155-2023</t>
        </is>
      </c>
      <c r="B147" s="1" t="n">
        <v>45086</v>
      </c>
      <c r="C147" s="1" t="n">
        <v>46202</v>
      </c>
      <c r="D147" t="inlineStr">
        <is>
          <t>DALARNAS LÄN</t>
        </is>
      </c>
      <c r="E147" t="inlineStr">
        <is>
          <t>HEDEMORA</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53584-2023</t>
        </is>
      </c>
      <c r="B148" s="1" t="n">
        <v>45230</v>
      </c>
      <c r="C148" s="1" t="n">
        <v>46202</v>
      </c>
      <c r="D148" t="inlineStr">
        <is>
          <t>DALARNAS LÄN</t>
        </is>
      </c>
      <c r="E148" t="inlineStr">
        <is>
          <t>HEDEMORA</t>
        </is>
      </c>
      <c r="G148" t="n">
        <v>6.6</v>
      </c>
      <c r="H148" t="n">
        <v>0</v>
      </c>
      <c r="I148" t="n">
        <v>0</v>
      </c>
      <c r="J148" t="n">
        <v>0</v>
      </c>
      <c r="K148" t="n">
        <v>0</v>
      </c>
      <c r="L148" t="n">
        <v>0</v>
      </c>
      <c r="M148" t="n">
        <v>0</v>
      </c>
      <c r="N148" t="n">
        <v>0</v>
      </c>
      <c r="O148" t="n">
        <v>0</v>
      </c>
      <c r="P148" t="n">
        <v>0</v>
      </c>
      <c r="Q148" t="n">
        <v>0</v>
      </c>
      <c r="R148" s="2" t="inlineStr"/>
    </row>
    <row r="149" ht="15" customHeight="1">
      <c r="A149" t="inlineStr">
        <is>
          <t>A 36900-2022</t>
        </is>
      </c>
      <c r="B149" s="1" t="n">
        <v>44805</v>
      </c>
      <c r="C149" s="1" t="n">
        <v>46202</v>
      </c>
      <c r="D149" t="inlineStr">
        <is>
          <t>DALARNAS LÄN</t>
        </is>
      </c>
      <c r="E149" t="inlineStr">
        <is>
          <t>HEDEMORA</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54312-2024</t>
        </is>
      </c>
      <c r="B150" s="1" t="n">
        <v>45617</v>
      </c>
      <c r="C150" s="1" t="n">
        <v>46202</v>
      </c>
      <c r="D150" t="inlineStr">
        <is>
          <t>DALARNAS LÄN</t>
        </is>
      </c>
      <c r="E150" t="inlineStr">
        <is>
          <t>HEDEMORA</t>
        </is>
      </c>
      <c r="F150" t="inlineStr">
        <is>
          <t>Bergvik skog väst AB</t>
        </is>
      </c>
      <c r="G150" t="n">
        <v>13.9</v>
      </c>
      <c r="H150" t="n">
        <v>0</v>
      </c>
      <c r="I150" t="n">
        <v>0</v>
      </c>
      <c r="J150" t="n">
        <v>0</v>
      </c>
      <c r="K150" t="n">
        <v>0</v>
      </c>
      <c r="L150" t="n">
        <v>0</v>
      </c>
      <c r="M150" t="n">
        <v>0</v>
      </c>
      <c r="N150" t="n">
        <v>0</v>
      </c>
      <c r="O150" t="n">
        <v>0</v>
      </c>
      <c r="P150" t="n">
        <v>0</v>
      </c>
      <c r="Q150" t="n">
        <v>0</v>
      </c>
      <c r="R150" s="2" t="inlineStr"/>
    </row>
    <row r="151" ht="15" customHeight="1">
      <c r="A151" t="inlineStr">
        <is>
          <t>A 52945-2024</t>
        </is>
      </c>
      <c r="B151" s="1" t="n">
        <v>45610</v>
      </c>
      <c r="C151" s="1" t="n">
        <v>46202</v>
      </c>
      <c r="D151" t="inlineStr">
        <is>
          <t>DALARNAS LÄN</t>
        </is>
      </c>
      <c r="E151" t="inlineStr">
        <is>
          <t>HEDEMORA</t>
        </is>
      </c>
      <c r="F151" t="inlineStr">
        <is>
          <t>Sveaskog</t>
        </is>
      </c>
      <c r="G151" t="n">
        <v>5</v>
      </c>
      <c r="H151" t="n">
        <v>0</v>
      </c>
      <c r="I151" t="n">
        <v>0</v>
      </c>
      <c r="J151" t="n">
        <v>0</v>
      </c>
      <c r="K151" t="n">
        <v>0</v>
      </c>
      <c r="L151" t="n">
        <v>0</v>
      </c>
      <c r="M151" t="n">
        <v>0</v>
      </c>
      <c r="N151" t="n">
        <v>0</v>
      </c>
      <c r="O151" t="n">
        <v>0</v>
      </c>
      <c r="P151" t="n">
        <v>0</v>
      </c>
      <c r="Q151" t="n">
        <v>0</v>
      </c>
      <c r="R151" s="2" t="inlineStr"/>
    </row>
    <row r="152" ht="15" customHeight="1">
      <c r="A152" t="inlineStr">
        <is>
          <t>A 59632-2023</t>
        </is>
      </c>
      <c r="B152" s="1" t="n">
        <v>45254</v>
      </c>
      <c r="C152" s="1" t="n">
        <v>46202</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37759-2024</t>
        </is>
      </c>
      <c r="B153" s="1" t="n">
        <v>45541</v>
      </c>
      <c r="C153" s="1" t="n">
        <v>46202</v>
      </c>
      <c r="D153" t="inlineStr">
        <is>
          <t>DALARNAS LÄN</t>
        </is>
      </c>
      <c r="E153" t="inlineStr">
        <is>
          <t>HEDEMORA</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7914-2024</t>
        </is>
      </c>
      <c r="B154" s="1" t="n">
        <v>45350</v>
      </c>
      <c r="C154" s="1" t="n">
        <v>46202</v>
      </c>
      <c r="D154" t="inlineStr">
        <is>
          <t>DALARNAS LÄN</t>
        </is>
      </c>
      <c r="E154" t="inlineStr">
        <is>
          <t>HEDEMORA</t>
        </is>
      </c>
      <c r="G154" t="n">
        <v>4.1</v>
      </c>
      <c r="H154" t="n">
        <v>0</v>
      </c>
      <c r="I154" t="n">
        <v>0</v>
      </c>
      <c r="J154" t="n">
        <v>0</v>
      </c>
      <c r="K154" t="n">
        <v>0</v>
      </c>
      <c r="L154" t="n">
        <v>0</v>
      </c>
      <c r="M154" t="n">
        <v>0</v>
      </c>
      <c r="N154" t="n">
        <v>0</v>
      </c>
      <c r="O154" t="n">
        <v>0</v>
      </c>
      <c r="P154" t="n">
        <v>0</v>
      </c>
      <c r="Q154" t="n">
        <v>0</v>
      </c>
      <c r="R154" s="2" t="inlineStr"/>
    </row>
    <row r="155" ht="15" customHeight="1">
      <c r="A155" t="inlineStr">
        <is>
          <t>A 73099-2021</t>
        </is>
      </c>
      <c r="B155" s="1" t="n">
        <v>44546</v>
      </c>
      <c r="C155" s="1" t="n">
        <v>46202</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52199-2021</t>
        </is>
      </c>
      <c r="B156" s="1" t="n">
        <v>44462</v>
      </c>
      <c r="C156" s="1" t="n">
        <v>46202</v>
      </c>
      <c r="D156" t="inlineStr">
        <is>
          <t>DALARNAS LÄN</t>
        </is>
      </c>
      <c r="E156" t="inlineStr">
        <is>
          <t>HEDEMORA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65057-2023</t>
        </is>
      </c>
      <c r="B157" s="1" t="n">
        <v>45287</v>
      </c>
      <c r="C157" s="1" t="n">
        <v>46202</v>
      </c>
      <c r="D157" t="inlineStr">
        <is>
          <t>DALARNAS LÄN</t>
        </is>
      </c>
      <c r="E157" t="inlineStr">
        <is>
          <t>HEDEMORA</t>
        </is>
      </c>
      <c r="G157" t="n">
        <v>1.8</v>
      </c>
      <c r="H157" t="n">
        <v>0</v>
      </c>
      <c r="I157" t="n">
        <v>0</v>
      </c>
      <c r="J157" t="n">
        <v>0</v>
      </c>
      <c r="K157" t="n">
        <v>0</v>
      </c>
      <c r="L157" t="n">
        <v>0</v>
      </c>
      <c r="M157" t="n">
        <v>0</v>
      </c>
      <c r="N157" t="n">
        <v>0</v>
      </c>
      <c r="O157" t="n">
        <v>0</v>
      </c>
      <c r="P157" t="n">
        <v>0</v>
      </c>
      <c r="Q157" t="n">
        <v>0</v>
      </c>
      <c r="R157" s="2" t="inlineStr"/>
    </row>
    <row r="158" ht="15" customHeight="1">
      <c r="A158" t="inlineStr">
        <is>
          <t>A 22270-2023</t>
        </is>
      </c>
      <c r="B158" s="1" t="n">
        <v>45070</v>
      </c>
      <c r="C158" s="1" t="n">
        <v>46202</v>
      </c>
      <c r="D158" t="inlineStr">
        <is>
          <t>DALARNAS LÄN</t>
        </is>
      </c>
      <c r="E158" t="inlineStr">
        <is>
          <t>HEDEMORA</t>
        </is>
      </c>
      <c r="G158" t="n">
        <v>1.8</v>
      </c>
      <c r="H158" t="n">
        <v>0</v>
      </c>
      <c r="I158" t="n">
        <v>0</v>
      </c>
      <c r="J158" t="n">
        <v>0</v>
      </c>
      <c r="K158" t="n">
        <v>0</v>
      </c>
      <c r="L158" t="n">
        <v>0</v>
      </c>
      <c r="M158" t="n">
        <v>0</v>
      </c>
      <c r="N158" t="n">
        <v>0</v>
      </c>
      <c r="O158" t="n">
        <v>0</v>
      </c>
      <c r="P158" t="n">
        <v>0</v>
      </c>
      <c r="Q158" t="n">
        <v>0</v>
      </c>
      <c r="R158" s="2" t="inlineStr"/>
    </row>
    <row r="159" ht="15" customHeight="1">
      <c r="A159" t="inlineStr">
        <is>
          <t>A 16413-2024</t>
        </is>
      </c>
      <c r="B159" s="1" t="n">
        <v>45407</v>
      </c>
      <c r="C159" s="1" t="n">
        <v>46202</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55832-2024</t>
        </is>
      </c>
      <c r="B160" s="1" t="n">
        <v>45623</v>
      </c>
      <c r="C160" s="1" t="n">
        <v>46202</v>
      </c>
      <c r="D160" t="inlineStr">
        <is>
          <t>DALARNAS LÄN</t>
        </is>
      </c>
      <c r="E160" t="inlineStr">
        <is>
          <t>HEDEMORA</t>
        </is>
      </c>
      <c r="G160" t="n">
        <v>3</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v>
      </c>
      <c r="C161" s="1" t="n">
        <v>46202</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52944-2024</t>
        </is>
      </c>
      <c r="B162" s="1" t="n">
        <v>45610</v>
      </c>
      <c r="C162" s="1" t="n">
        <v>46202</v>
      </c>
      <c r="D162" t="inlineStr">
        <is>
          <t>DALARNAS LÄN</t>
        </is>
      </c>
      <c r="E162" t="inlineStr">
        <is>
          <t>HEDEMORA</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29050-2023</t>
        </is>
      </c>
      <c r="B163" s="1" t="n">
        <v>45104</v>
      </c>
      <c r="C163" s="1" t="n">
        <v>46202</v>
      </c>
      <c r="D163" t="inlineStr">
        <is>
          <t>DALARNAS LÄN</t>
        </is>
      </c>
      <c r="E163" t="inlineStr">
        <is>
          <t>HEDEMORA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42894-2024</t>
        </is>
      </c>
      <c r="B164" s="1" t="n">
        <v>45566</v>
      </c>
      <c r="C164" s="1" t="n">
        <v>46202</v>
      </c>
      <c r="D164" t="inlineStr">
        <is>
          <t>DALARNAS LÄN</t>
        </is>
      </c>
      <c r="E164" t="inlineStr">
        <is>
          <t>HEDEMORA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31365-2024</t>
        </is>
      </c>
      <c r="B165" s="1" t="n">
        <v>45505</v>
      </c>
      <c r="C165" s="1" t="n">
        <v>46202</v>
      </c>
      <c r="D165" t="inlineStr">
        <is>
          <t>DALARNAS LÄN</t>
        </is>
      </c>
      <c r="E165" t="inlineStr">
        <is>
          <t>HEDEMORA</t>
        </is>
      </c>
      <c r="G165" t="n">
        <v>0.4</v>
      </c>
      <c r="H165" t="n">
        <v>0</v>
      </c>
      <c r="I165" t="n">
        <v>0</v>
      </c>
      <c r="J165" t="n">
        <v>0</v>
      </c>
      <c r="K165" t="n">
        <v>0</v>
      </c>
      <c r="L165" t="n">
        <v>0</v>
      </c>
      <c r="M165" t="n">
        <v>0</v>
      </c>
      <c r="N165" t="n">
        <v>0</v>
      </c>
      <c r="O165" t="n">
        <v>0</v>
      </c>
      <c r="P165" t="n">
        <v>0</v>
      </c>
      <c r="Q165" t="n">
        <v>0</v>
      </c>
      <c r="R165" s="2" t="inlineStr"/>
    </row>
    <row r="166" ht="15" customHeight="1">
      <c r="A166" t="inlineStr">
        <is>
          <t>A 25150-2023</t>
        </is>
      </c>
      <c r="B166" s="1" t="n">
        <v>45086</v>
      </c>
      <c r="C166" s="1" t="n">
        <v>46202</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36935-2024</t>
        </is>
      </c>
      <c r="B167" s="1" t="n">
        <v>45538</v>
      </c>
      <c r="C167" s="1" t="n">
        <v>46202</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5766-2025</t>
        </is>
      </c>
      <c r="B168" s="1" t="n">
        <v>45694</v>
      </c>
      <c r="C168" s="1" t="n">
        <v>46202</v>
      </c>
      <c r="D168" t="inlineStr">
        <is>
          <t>DALARNAS LÄN</t>
        </is>
      </c>
      <c r="E168" t="inlineStr">
        <is>
          <t>HEDEMORA</t>
        </is>
      </c>
      <c r="G168" t="n">
        <v>4.9</v>
      </c>
      <c r="H168" t="n">
        <v>0</v>
      </c>
      <c r="I168" t="n">
        <v>0</v>
      </c>
      <c r="J168" t="n">
        <v>0</v>
      </c>
      <c r="K168" t="n">
        <v>0</v>
      </c>
      <c r="L168" t="n">
        <v>0</v>
      </c>
      <c r="M168" t="n">
        <v>0</v>
      </c>
      <c r="N168" t="n">
        <v>0</v>
      </c>
      <c r="O168" t="n">
        <v>0</v>
      </c>
      <c r="P168" t="n">
        <v>0</v>
      </c>
      <c r="Q168" t="n">
        <v>0</v>
      </c>
      <c r="R168" s="2" t="inlineStr"/>
    </row>
    <row r="169" ht="15" customHeight="1">
      <c r="A169" t="inlineStr">
        <is>
          <t>A 19473-2024</t>
        </is>
      </c>
      <c r="B169" s="1" t="n">
        <v>45429</v>
      </c>
      <c r="C169" s="1" t="n">
        <v>46202</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50885-2023</t>
        </is>
      </c>
      <c r="B170" s="1" t="n">
        <v>45218</v>
      </c>
      <c r="C170" s="1" t="n">
        <v>46202</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61886-2022</t>
        </is>
      </c>
      <c r="B171" s="1" t="n">
        <v>44917</v>
      </c>
      <c r="C171" s="1" t="n">
        <v>46202</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53576-2023</t>
        </is>
      </c>
      <c r="B172" s="1" t="n">
        <v>45230</v>
      </c>
      <c r="C172" s="1" t="n">
        <v>46202</v>
      </c>
      <c r="D172" t="inlineStr">
        <is>
          <t>DALARNAS LÄN</t>
        </is>
      </c>
      <c r="E172" t="inlineStr">
        <is>
          <t>HEDEMORA</t>
        </is>
      </c>
      <c r="G172" t="n">
        <v>0.9</v>
      </c>
      <c r="H172" t="n">
        <v>0</v>
      </c>
      <c r="I172" t="n">
        <v>0</v>
      </c>
      <c r="J172" t="n">
        <v>0</v>
      </c>
      <c r="K172" t="n">
        <v>0</v>
      </c>
      <c r="L172" t="n">
        <v>0</v>
      </c>
      <c r="M172" t="n">
        <v>0</v>
      </c>
      <c r="N172" t="n">
        <v>0</v>
      </c>
      <c r="O172" t="n">
        <v>0</v>
      </c>
      <c r="P172" t="n">
        <v>0</v>
      </c>
      <c r="Q172" t="n">
        <v>0</v>
      </c>
      <c r="R172" s="2" t="inlineStr"/>
    </row>
    <row r="173" ht="15" customHeight="1">
      <c r="A173" t="inlineStr">
        <is>
          <t>A 53588-2023</t>
        </is>
      </c>
      <c r="B173" s="1" t="n">
        <v>45230</v>
      </c>
      <c r="C173" s="1" t="n">
        <v>46202</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12136-2025</t>
        </is>
      </c>
      <c r="B174" s="1" t="n">
        <v>45729</v>
      </c>
      <c r="C174" s="1" t="n">
        <v>46202</v>
      </c>
      <c r="D174" t="inlineStr">
        <is>
          <t>DALARNAS LÄN</t>
        </is>
      </c>
      <c r="E174" t="inlineStr">
        <is>
          <t>HEDEMORA</t>
        </is>
      </c>
      <c r="G174" t="n">
        <v>1.5</v>
      </c>
      <c r="H174" t="n">
        <v>0</v>
      </c>
      <c r="I174" t="n">
        <v>0</v>
      </c>
      <c r="J174" t="n">
        <v>0</v>
      </c>
      <c r="K174" t="n">
        <v>0</v>
      </c>
      <c r="L174" t="n">
        <v>0</v>
      </c>
      <c r="M174" t="n">
        <v>0</v>
      </c>
      <c r="N174" t="n">
        <v>0</v>
      </c>
      <c r="O174" t="n">
        <v>0</v>
      </c>
      <c r="P174" t="n">
        <v>0</v>
      </c>
      <c r="Q174" t="n">
        <v>0</v>
      </c>
      <c r="R174" s="2" t="inlineStr"/>
    </row>
    <row r="175" ht="15" customHeight="1">
      <c r="A175" t="inlineStr">
        <is>
          <t>A 8342-2025</t>
        </is>
      </c>
      <c r="B175" s="1" t="n">
        <v>45708</v>
      </c>
      <c r="C175" s="1" t="n">
        <v>46202</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28029-2023</t>
        </is>
      </c>
      <c r="B176" s="1" t="n">
        <v>45099</v>
      </c>
      <c r="C176" s="1" t="n">
        <v>46202</v>
      </c>
      <c r="D176" t="inlineStr">
        <is>
          <t>DALARNAS LÄN</t>
        </is>
      </c>
      <c r="E176" t="inlineStr">
        <is>
          <t>HEDEMORA</t>
        </is>
      </c>
      <c r="G176" t="n">
        <v>0.6</v>
      </c>
      <c r="H176" t="n">
        <v>0</v>
      </c>
      <c r="I176" t="n">
        <v>0</v>
      </c>
      <c r="J176" t="n">
        <v>0</v>
      </c>
      <c r="K176" t="n">
        <v>0</v>
      </c>
      <c r="L176" t="n">
        <v>0</v>
      </c>
      <c r="M176" t="n">
        <v>0</v>
      </c>
      <c r="N176" t="n">
        <v>0</v>
      </c>
      <c r="O176" t="n">
        <v>0</v>
      </c>
      <c r="P176" t="n">
        <v>0</v>
      </c>
      <c r="Q176" t="n">
        <v>0</v>
      </c>
      <c r="R176" s="2" t="inlineStr"/>
    </row>
    <row r="177" ht="15" customHeight="1">
      <c r="A177" t="inlineStr">
        <is>
          <t>A 43621-2024</t>
        </is>
      </c>
      <c r="B177" s="1" t="n">
        <v>45569</v>
      </c>
      <c r="C177" s="1" t="n">
        <v>46202</v>
      </c>
      <c r="D177" t="inlineStr">
        <is>
          <t>DALARNAS LÄN</t>
        </is>
      </c>
      <c r="E177" t="inlineStr">
        <is>
          <t>HEDEMORA</t>
        </is>
      </c>
      <c r="G177" t="n">
        <v>2.4</v>
      </c>
      <c r="H177" t="n">
        <v>0</v>
      </c>
      <c r="I177" t="n">
        <v>0</v>
      </c>
      <c r="J177" t="n">
        <v>0</v>
      </c>
      <c r="K177" t="n">
        <v>0</v>
      </c>
      <c r="L177" t="n">
        <v>0</v>
      </c>
      <c r="M177" t="n">
        <v>0</v>
      </c>
      <c r="N177" t="n">
        <v>0</v>
      </c>
      <c r="O177" t="n">
        <v>0</v>
      </c>
      <c r="P177" t="n">
        <v>0</v>
      </c>
      <c r="Q177" t="n">
        <v>0</v>
      </c>
      <c r="R177" s="2" t="inlineStr"/>
    </row>
    <row r="178" ht="15" customHeight="1">
      <c r="A178" t="inlineStr">
        <is>
          <t>A 6972-2025</t>
        </is>
      </c>
      <c r="B178" s="1" t="n">
        <v>45701</v>
      </c>
      <c r="C178" s="1" t="n">
        <v>46202</v>
      </c>
      <c r="D178" t="inlineStr">
        <is>
          <t>DALARNAS LÄN</t>
        </is>
      </c>
      <c r="E178" t="inlineStr">
        <is>
          <t>HEDEMORA</t>
        </is>
      </c>
      <c r="G178" t="n">
        <v>4.9</v>
      </c>
      <c r="H178" t="n">
        <v>0</v>
      </c>
      <c r="I178" t="n">
        <v>0</v>
      </c>
      <c r="J178" t="n">
        <v>0</v>
      </c>
      <c r="K178" t="n">
        <v>0</v>
      </c>
      <c r="L178" t="n">
        <v>0</v>
      </c>
      <c r="M178" t="n">
        <v>0</v>
      </c>
      <c r="N178" t="n">
        <v>0</v>
      </c>
      <c r="O178" t="n">
        <v>0</v>
      </c>
      <c r="P178" t="n">
        <v>0</v>
      </c>
      <c r="Q178" t="n">
        <v>0</v>
      </c>
      <c r="R178" s="2" t="inlineStr"/>
    </row>
    <row r="179" ht="15" customHeight="1">
      <c r="A179" t="inlineStr">
        <is>
          <t>A 62188-2023</t>
        </is>
      </c>
      <c r="B179" s="1" t="n">
        <v>45267</v>
      </c>
      <c r="C179" s="1" t="n">
        <v>46202</v>
      </c>
      <c r="D179" t="inlineStr">
        <is>
          <t>DALARNAS LÄN</t>
        </is>
      </c>
      <c r="E179" t="inlineStr">
        <is>
          <t>HEDEMORA</t>
        </is>
      </c>
      <c r="G179" t="n">
        <v>2.1</v>
      </c>
      <c r="H179" t="n">
        <v>0</v>
      </c>
      <c r="I179" t="n">
        <v>0</v>
      </c>
      <c r="J179" t="n">
        <v>0</v>
      </c>
      <c r="K179" t="n">
        <v>0</v>
      </c>
      <c r="L179" t="n">
        <v>0</v>
      </c>
      <c r="M179" t="n">
        <v>0</v>
      </c>
      <c r="N179" t="n">
        <v>0</v>
      </c>
      <c r="O179" t="n">
        <v>0</v>
      </c>
      <c r="P179" t="n">
        <v>0</v>
      </c>
      <c r="Q179" t="n">
        <v>0</v>
      </c>
      <c r="R179" s="2" t="inlineStr"/>
    </row>
    <row r="180" ht="15" customHeight="1">
      <c r="A180" t="inlineStr">
        <is>
          <t>A 1917-2022</t>
        </is>
      </c>
      <c r="B180" s="1" t="n">
        <v>44574</v>
      </c>
      <c r="C180" s="1" t="n">
        <v>46202</v>
      </c>
      <c r="D180" t="inlineStr">
        <is>
          <t>DALARNAS LÄN</t>
        </is>
      </c>
      <c r="E180" t="inlineStr">
        <is>
          <t>HEDEMORA</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31825-2024</t>
        </is>
      </c>
      <c r="B181" s="1" t="n">
        <v>45509</v>
      </c>
      <c r="C181" s="1" t="n">
        <v>46202</v>
      </c>
      <c r="D181" t="inlineStr">
        <is>
          <t>DALARNAS LÄN</t>
        </is>
      </c>
      <c r="E181" t="inlineStr">
        <is>
          <t>HEDEMORA</t>
        </is>
      </c>
      <c r="G181" t="n">
        <v>0.1</v>
      </c>
      <c r="H181" t="n">
        <v>0</v>
      </c>
      <c r="I181" t="n">
        <v>0</v>
      </c>
      <c r="J181" t="n">
        <v>0</v>
      </c>
      <c r="K181" t="n">
        <v>0</v>
      </c>
      <c r="L181" t="n">
        <v>0</v>
      </c>
      <c r="M181" t="n">
        <v>0</v>
      </c>
      <c r="N181" t="n">
        <v>0</v>
      </c>
      <c r="O181" t="n">
        <v>0</v>
      </c>
      <c r="P181" t="n">
        <v>0</v>
      </c>
      <c r="Q181" t="n">
        <v>0</v>
      </c>
      <c r="R181" s="2" t="inlineStr"/>
    </row>
    <row r="182" ht="15" customHeight="1">
      <c r="A182" t="inlineStr">
        <is>
          <t>A 56668-2024</t>
        </is>
      </c>
      <c r="B182" s="1" t="n">
        <v>45626</v>
      </c>
      <c r="C182" s="1" t="n">
        <v>46202</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7052-2025</t>
        </is>
      </c>
      <c r="B183" s="1" t="n">
        <v>45701</v>
      </c>
      <c r="C183" s="1" t="n">
        <v>46202</v>
      </c>
      <c r="D183" t="inlineStr">
        <is>
          <t>DALARNAS LÄN</t>
        </is>
      </c>
      <c r="E183" t="inlineStr">
        <is>
          <t>HEDEMORA</t>
        </is>
      </c>
      <c r="G183" t="n">
        <v>0.9</v>
      </c>
      <c r="H183" t="n">
        <v>0</v>
      </c>
      <c r="I183" t="n">
        <v>0</v>
      </c>
      <c r="J183" t="n">
        <v>0</v>
      </c>
      <c r="K183" t="n">
        <v>0</v>
      </c>
      <c r="L183" t="n">
        <v>0</v>
      </c>
      <c r="M183" t="n">
        <v>0</v>
      </c>
      <c r="N183" t="n">
        <v>0</v>
      </c>
      <c r="O183" t="n">
        <v>0</v>
      </c>
      <c r="P183" t="n">
        <v>0</v>
      </c>
      <c r="Q183" t="n">
        <v>0</v>
      </c>
      <c r="R183" s="2" t="inlineStr"/>
    </row>
    <row r="184" ht="15" customHeight="1">
      <c r="A184" t="inlineStr">
        <is>
          <t>A 14949-2025</t>
        </is>
      </c>
      <c r="B184" s="1" t="n">
        <v>45743</v>
      </c>
      <c r="C184" s="1" t="n">
        <v>46202</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v>
      </c>
      <c r="C185" s="1" t="n">
        <v>46202</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28180-2025</t>
        </is>
      </c>
      <c r="B186" s="1" t="n">
        <v>45818</v>
      </c>
      <c r="C186" s="1" t="n">
        <v>46202</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28182-2025</t>
        </is>
      </c>
      <c r="B187" s="1" t="n">
        <v>45818</v>
      </c>
      <c r="C187" s="1" t="n">
        <v>46202</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14951-2025</t>
        </is>
      </c>
      <c r="B188" s="1" t="n">
        <v>45743</v>
      </c>
      <c r="C188" s="1" t="n">
        <v>46202</v>
      </c>
      <c r="D188" t="inlineStr">
        <is>
          <t>DALARNAS LÄN</t>
        </is>
      </c>
      <c r="E188" t="inlineStr">
        <is>
          <t>HEDEMORA</t>
        </is>
      </c>
      <c r="G188" t="n">
        <v>1.6</v>
      </c>
      <c r="H188" t="n">
        <v>0</v>
      </c>
      <c r="I188" t="n">
        <v>0</v>
      </c>
      <c r="J188" t="n">
        <v>0</v>
      </c>
      <c r="K188" t="n">
        <v>0</v>
      </c>
      <c r="L188" t="n">
        <v>0</v>
      </c>
      <c r="M188" t="n">
        <v>0</v>
      </c>
      <c r="N188" t="n">
        <v>0</v>
      </c>
      <c r="O188" t="n">
        <v>0</v>
      </c>
      <c r="P188" t="n">
        <v>0</v>
      </c>
      <c r="Q188" t="n">
        <v>0</v>
      </c>
      <c r="R188" s="2" t="inlineStr"/>
    </row>
    <row r="189" ht="15" customHeight="1">
      <c r="A189" t="inlineStr">
        <is>
          <t>A 385-2024</t>
        </is>
      </c>
      <c r="B189" s="1" t="n">
        <v>45296</v>
      </c>
      <c r="C189" s="1" t="n">
        <v>46202</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38947-2023</t>
        </is>
      </c>
      <c r="B190" s="1" t="n">
        <v>45163</v>
      </c>
      <c r="C190" s="1" t="n">
        <v>46202</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46825-2024</t>
        </is>
      </c>
      <c r="B191" s="1" t="n">
        <v>45583</v>
      </c>
      <c r="C191" s="1" t="n">
        <v>46202</v>
      </c>
      <c r="D191" t="inlineStr">
        <is>
          <t>DALARNAS LÄN</t>
        </is>
      </c>
      <c r="E191" t="inlineStr">
        <is>
          <t>HEDEMORA</t>
        </is>
      </c>
      <c r="G191" t="n">
        <v>1.1</v>
      </c>
      <c r="H191" t="n">
        <v>0</v>
      </c>
      <c r="I191" t="n">
        <v>0</v>
      </c>
      <c r="J191" t="n">
        <v>0</v>
      </c>
      <c r="K191" t="n">
        <v>0</v>
      </c>
      <c r="L191" t="n">
        <v>0</v>
      </c>
      <c r="M191" t="n">
        <v>0</v>
      </c>
      <c r="N191" t="n">
        <v>0</v>
      </c>
      <c r="O191" t="n">
        <v>0</v>
      </c>
      <c r="P191" t="n">
        <v>0</v>
      </c>
      <c r="Q191" t="n">
        <v>0</v>
      </c>
      <c r="R191" s="2" t="inlineStr"/>
    </row>
    <row r="192" ht="15" customHeight="1">
      <c r="A192" t="inlineStr">
        <is>
          <t>A 45377-2024</t>
        </is>
      </c>
      <c r="B192" s="1" t="n">
        <v>45576</v>
      </c>
      <c r="C192" s="1" t="n">
        <v>46202</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60078-2022</t>
        </is>
      </c>
      <c r="B193" s="1" t="n">
        <v>44909</v>
      </c>
      <c r="C193" s="1" t="n">
        <v>46202</v>
      </c>
      <c r="D193" t="inlineStr">
        <is>
          <t>DALARNAS LÄN</t>
        </is>
      </c>
      <c r="E193" t="inlineStr">
        <is>
          <t>HEDEMORA</t>
        </is>
      </c>
      <c r="G193" t="n">
        <v>0.5</v>
      </c>
      <c r="H193" t="n">
        <v>0</v>
      </c>
      <c r="I193" t="n">
        <v>0</v>
      </c>
      <c r="J193" t="n">
        <v>0</v>
      </c>
      <c r="K193" t="n">
        <v>0</v>
      </c>
      <c r="L193" t="n">
        <v>0</v>
      </c>
      <c r="M193" t="n">
        <v>0</v>
      </c>
      <c r="N193" t="n">
        <v>0</v>
      </c>
      <c r="O193" t="n">
        <v>0</v>
      </c>
      <c r="P193" t="n">
        <v>0</v>
      </c>
      <c r="Q193" t="n">
        <v>0</v>
      </c>
      <c r="R193" s="2" t="inlineStr"/>
    </row>
    <row r="194" ht="15" customHeight="1">
      <c r="A194" t="inlineStr">
        <is>
          <t>A 55881-2023</t>
        </is>
      </c>
      <c r="B194" s="1" t="n">
        <v>45239</v>
      </c>
      <c r="C194" s="1" t="n">
        <v>46202</v>
      </c>
      <c r="D194" t="inlineStr">
        <is>
          <t>DALARNAS LÄN</t>
        </is>
      </c>
      <c r="E194" t="inlineStr">
        <is>
          <t>HEDEMORA</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46202</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30582-2025</t>
        </is>
      </c>
      <c r="B196" s="1" t="n">
        <v>45831</v>
      </c>
      <c r="C196" s="1" t="n">
        <v>46202</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54310-2021</t>
        </is>
      </c>
      <c r="B197" s="1" t="n">
        <v>44472</v>
      </c>
      <c r="C197" s="1" t="n">
        <v>46202</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30471-2025</t>
        </is>
      </c>
      <c r="B198" s="1" t="n">
        <v>45827</v>
      </c>
      <c r="C198" s="1" t="n">
        <v>46202</v>
      </c>
      <c r="D198" t="inlineStr">
        <is>
          <t>DALARNAS LÄN</t>
        </is>
      </c>
      <c r="E198" t="inlineStr">
        <is>
          <t>HEDEMORA</t>
        </is>
      </c>
      <c r="G198" t="n">
        <v>0.3</v>
      </c>
      <c r="H198" t="n">
        <v>0</v>
      </c>
      <c r="I198" t="n">
        <v>0</v>
      </c>
      <c r="J198" t="n">
        <v>0</v>
      </c>
      <c r="K198" t="n">
        <v>0</v>
      </c>
      <c r="L198" t="n">
        <v>0</v>
      </c>
      <c r="M198" t="n">
        <v>0</v>
      </c>
      <c r="N198" t="n">
        <v>0</v>
      </c>
      <c r="O198" t="n">
        <v>0</v>
      </c>
      <c r="P198" t="n">
        <v>0</v>
      </c>
      <c r="Q198" t="n">
        <v>0</v>
      </c>
      <c r="R198" s="2" t="inlineStr"/>
    </row>
    <row r="199" ht="15" customHeight="1">
      <c r="A199" t="inlineStr">
        <is>
          <t>A 15833-2025</t>
        </is>
      </c>
      <c r="B199" s="1" t="n">
        <v>45748</v>
      </c>
      <c r="C199" s="1" t="n">
        <v>46202</v>
      </c>
      <c r="D199" t="inlineStr">
        <is>
          <t>DALARNAS LÄN</t>
        </is>
      </c>
      <c r="E199" t="inlineStr">
        <is>
          <t>HEDEMORA</t>
        </is>
      </c>
      <c r="G199" t="n">
        <v>0.4</v>
      </c>
      <c r="H199" t="n">
        <v>0</v>
      </c>
      <c r="I199" t="n">
        <v>0</v>
      </c>
      <c r="J199" t="n">
        <v>0</v>
      </c>
      <c r="K199" t="n">
        <v>0</v>
      </c>
      <c r="L199" t="n">
        <v>0</v>
      </c>
      <c r="M199" t="n">
        <v>0</v>
      </c>
      <c r="N199" t="n">
        <v>0</v>
      </c>
      <c r="O199" t="n">
        <v>0</v>
      </c>
      <c r="P199" t="n">
        <v>0</v>
      </c>
      <c r="Q199" t="n">
        <v>0</v>
      </c>
      <c r="R199" s="2" t="inlineStr"/>
    </row>
    <row r="200" ht="15" customHeight="1">
      <c r="A200" t="inlineStr">
        <is>
          <t>A 46217-2023</t>
        </is>
      </c>
      <c r="B200" s="1" t="n">
        <v>45190</v>
      </c>
      <c r="C200" s="1" t="n">
        <v>46202</v>
      </c>
      <c r="D200" t="inlineStr">
        <is>
          <t>DALARNAS LÄN</t>
        </is>
      </c>
      <c r="E200" t="inlineStr">
        <is>
          <t>HEDEMORA</t>
        </is>
      </c>
      <c r="F200" t="inlineStr">
        <is>
          <t>Bergvik skog väst AB</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29301-2023</t>
        </is>
      </c>
      <c r="B201" s="1" t="n">
        <v>45105</v>
      </c>
      <c r="C201" s="1" t="n">
        <v>46202</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15635-2022</t>
        </is>
      </c>
      <c r="B202" s="1" t="n">
        <v>44662</v>
      </c>
      <c r="C202" s="1" t="n">
        <v>46202</v>
      </c>
      <c r="D202" t="inlineStr">
        <is>
          <t>DALARNAS LÄN</t>
        </is>
      </c>
      <c r="E202" t="inlineStr">
        <is>
          <t>HEDEMORA</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21092-2023</t>
        </is>
      </c>
      <c r="B203" s="1" t="n">
        <v>45061</v>
      </c>
      <c r="C203" s="1" t="n">
        <v>46202</v>
      </c>
      <c r="D203" t="inlineStr">
        <is>
          <t>DALARNAS LÄN</t>
        </is>
      </c>
      <c r="E203" t="inlineStr">
        <is>
          <t>HEDEMORA</t>
        </is>
      </c>
      <c r="F203" t="inlineStr">
        <is>
          <t>Sveaskog</t>
        </is>
      </c>
      <c r="G203" t="n">
        <v>0.1</v>
      </c>
      <c r="H203" t="n">
        <v>0</v>
      </c>
      <c r="I203" t="n">
        <v>0</v>
      </c>
      <c r="J203" t="n">
        <v>0</v>
      </c>
      <c r="K203" t="n">
        <v>0</v>
      </c>
      <c r="L203" t="n">
        <v>0</v>
      </c>
      <c r="M203" t="n">
        <v>0</v>
      </c>
      <c r="N203" t="n">
        <v>0</v>
      </c>
      <c r="O203" t="n">
        <v>0</v>
      </c>
      <c r="P203" t="n">
        <v>0</v>
      </c>
      <c r="Q203" t="n">
        <v>0</v>
      </c>
      <c r="R203" s="2" t="inlineStr"/>
    </row>
    <row r="204" ht="15" customHeight="1">
      <c r="A204" t="inlineStr">
        <is>
          <t>A 45589-2023</t>
        </is>
      </c>
      <c r="B204" s="1" t="n">
        <v>45194</v>
      </c>
      <c r="C204" s="1" t="n">
        <v>46202</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46202</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v>
      </c>
      <c r="C206" s="1" t="n">
        <v>46202</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7172-2025</t>
        </is>
      </c>
      <c r="B207" s="1" t="n">
        <v>45702</v>
      </c>
      <c r="C207" s="1" t="n">
        <v>46202</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53568-2023</t>
        </is>
      </c>
      <c r="B208" s="1" t="n">
        <v>45230</v>
      </c>
      <c r="C208" s="1" t="n">
        <v>46202</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52942-2024</t>
        </is>
      </c>
      <c r="B209" s="1" t="n">
        <v>45610</v>
      </c>
      <c r="C209" s="1" t="n">
        <v>46202</v>
      </c>
      <c r="D209" t="inlineStr">
        <is>
          <t>DALARNAS LÄN</t>
        </is>
      </c>
      <c r="E209" t="inlineStr">
        <is>
          <t>HEDEMORA</t>
        </is>
      </c>
      <c r="F209" t="inlineStr">
        <is>
          <t>Sveaskog</t>
        </is>
      </c>
      <c r="G209" t="n">
        <v>14.5</v>
      </c>
      <c r="H209" t="n">
        <v>0</v>
      </c>
      <c r="I209" t="n">
        <v>0</v>
      </c>
      <c r="J209" t="n">
        <v>0</v>
      </c>
      <c r="K209" t="n">
        <v>0</v>
      </c>
      <c r="L209" t="n">
        <v>0</v>
      </c>
      <c r="M209" t="n">
        <v>0</v>
      </c>
      <c r="N209" t="n">
        <v>0</v>
      </c>
      <c r="O209" t="n">
        <v>0</v>
      </c>
      <c r="P209" t="n">
        <v>0</v>
      </c>
      <c r="Q209" t="n">
        <v>0</v>
      </c>
      <c r="R209" s="2" t="inlineStr"/>
    </row>
    <row r="210" ht="15" customHeight="1">
      <c r="A210" t="inlineStr">
        <is>
          <t>A 53923-2024</t>
        </is>
      </c>
      <c r="B210" s="1" t="n">
        <v>45615</v>
      </c>
      <c r="C210" s="1" t="n">
        <v>46202</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48323-2021</t>
        </is>
      </c>
      <c r="B211" s="1" t="n">
        <v>44450</v>
      </c>
      <c r="C211" s="1" t="n">
        <v>46202</v>
      </c>
      <c r="D211" t="inlineStr">
        <is>
          <t>DALARNAS LÄN</t>
        </is>
      </c>
      <c r="E211" t="inlineStr">
        <is>
          <t>HEDEMORA</t>
        </is>
      </c>
      <c r="G211" t="n">
        <v>0.9</v>
      </c>
      <c r="H211" t="n">
        <v>0</v>
      </c>
      <c r="I211" t="n">
        <v>0</v>
      </c>
      <c r="J211" t="n">
        <v>0</v>
      </c>
      <c r="K211" t="n">
        <v>0</v>
      </c>
      <c r="L211" t="n">
        <v>0</v>
      </c>
      <c r="M211" t="n">
        <v>0</v>
      </c>
      <c r="N211" t="n">
        <v>0</v>
      </c>
      <c r="O211" t="n">
        <v>0</v>
      </c>
      <c r="P211" t="n">
        <v>0</v>
      </c>
      <c r="Q211" t="n">
        <v>0</v>
      </c>
      <c r="R211" s="2" t="inlineStr"/>
    </row>
    <row r="212" ht="15" customHeight="1">
      <c r="A212" t="inlineStr">
        <is>
          <t>A 44384-2024</t>
        </is>
      </c>
      <c r="B212" s="1" t="n">
        <v>45573</v>
      </c>
      <c r="C212" s="1" t="n">
        <v>46202</v>
      </c>
      <c r="D212" t="inlineStr">
        <is>
          <t>DALARNAS LÄN</t>
        </is>
      </c>
      <c r="E212" t="inlineStr">
        <is>
          <t>HEDEMORA</t>
        </is>
      </c>
      <c r="F212" t="inlineStr">
        <is>
          <t>Bergvik skog väst AB</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44388-2024</t>
        </is>
      </c>
      <c r="B213" s="1" t="n">
        <v>45573</v>
      </c>
      <c r="C213" s="1" t="n">
        <v>46202</v>
      </c>
      <c r="D213" t="inlineStr">
        <is>
          <t>DALARNAS LÄN</t>
        </is>
      </c>
      <c r="E213" t="inlineStr">
        <is>
          <t>HEDEMORA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34734-2025</t>
        </is>
      </c>
      <c r="B214" s="1" t="n">
        <v>45848</v>
      </c>
      <c r="C214" s="1" t="n">
        <v>46202</v>
      </c>
      <c r="D214" t="inlineStr">
        <is>
          <t>DALARNAS LÄN</t>
        </is>
      </c>
      <c r="E214" t="inlineStr">
        <is>
          <t>HEDEMORA</t>
        </is>
      </c>
      <c r="G214" t="n">
        <v>2.5</v>
      </c>
      <c r="H214" t="n">
        <v>0</v>
      </c>
      <c r="I214" t="n">
        <v>0</v>
      </c>
      <c r="J214" t="n">
        <v>0</v>
      </c>
      <c r="K214" t="n">
        <v>0</v>
      </c>
      <c r="L214" t="n">
        <v>0</v>
      </c>
      <c r="M214" t="n">
        <v>0</v>
      </c>
      <c r="N214" t="n">
        <v>0</v>
      </c>
      <c r="O214" t="n">
        <v>0</v>
      </c>
      <c r="P214" t="n">
        <v>0</v>
      </c>
      <c r="Q214" t="n">
        <v>0</v>
      </c>
      <c r="R214" s="2" t="inlineStr"/>
    </row>
    <row r="215" ht="15" customHeight="1">
      <c r="A215" t="inlineStr">
        <is>
          <t>A 39531-2024</t>
        </is>
      </c>
      <c r="B215" s="1" t="n">
        <v>45551</v>
      </c>
      <c r="C215" s="1" t="n">
        <v>46202</v>
      </c>
      <c r="D215" t="inlineStr">
        <is>
          <t>DALARNAS LÄN</t>
        </is>
      </c>
      <c r="E215" t="inlineStr">
        <is>
          <t>HEDEMORA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v>
      </c>
      <c r="C216" s="1" t="n">
        <v>46202</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1973-2022</t>
        </is>
      </c>
      <c r="B217" s="1" t="n">
        <v>44575</v>
      </c>
      <c r="C217" s="1" t="n">
        <v>46202</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row>
    <row r="218" ht="15" customHeight="1">
      <c r="A218" t="inlineStr">
        <is>
          <t>A 40919-2023</t>
        </is>
      </c>
      <c r="B218" s="1" t="n">
        <v>45173</v>
      </c>
      <c r="C218" s="1" t="n">
        <v>46202</v>
      </c>
      <c r="D218" t="inlineStr">
        <is>
          <t>DALARNAS LÄN</t>
        </is>
      </c>
      <c r="E218" t="inlineStr">
        <is>
          <t>HEDEMORA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46202</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20237-2023</t>
        </is>
      </c>
      <c r="B220" s="1" t="n">
        <v>45055</v>
      </c>
      <c r="C220" s="1" t="n">
        <v>46202</v>
      </c>
      <c r="D220" t="inlineStr">
        <is>
          <t>DALARNAS LÄN</t>
        </is>
      </c>
      <c r="E220" t="inlineStr">
        <is>
          <t>HEDEMORA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15048-2025</t>
        </is>
      </c>
      <c r="B221" s="1" t="n">
        <v>45743</v>
      </c>
      <c r="C221" s="1" t="n">
        <v>46202</v>
      </c>
      <c r="D221" t="inlineStr">
        <is>
          <t>DALARNAS LÄN</t>
        </is>
      </c>
      <c r="E221" t="inlineStr">
        <is>
          <t>HEDEMORA</t>
        </is>
      </c>
      <c r="F221" t="inlineStr">
        <is>
          <t>Sveaskog</t>
        </is>
      </c>
      <c r="G221" t="n">
        <v>9.1</v>
      </c>
      <c r="H221" t="n">
        <v>0</v>
      </c>
      <c r="I221" t="n">
        <v>0</v>
      </c>
      <c r="J221" t="n">
        <v>0</v>
      </c>
      <c r="K221" t="n">
        <v>0</v>
      </c>
      <c r="L221" t="n">
        <v>0</v>
      </c>
      <c r="M221" t="n">
        <v>0</v>
      </c>
      <c r="N221" t="n">
        <v>0</v>
      </c>
      <c r="O221" t="n">
        <v>0</v>
      </c>
      <c r="P221" t="n">
        <v>0</v>
      </c>
      <c r="Q221" t="n">
        <v>0</v>
      </c>
      <c r="R221" s="2" t="inlineStr"/>
    </row>
    <row r="222" ht="15" customHeight="1">
      <c r="A222" t="inlineStr">
        <is>
          <t>A 63929-2023</t>
        </is>
      </c>
      <c r="B222" s="1" t="n">
        <v>45278</v>
      </c>
      <c r="C222" s="1" t="n">
        <v>46202</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17600-2025</t>
        </is>
      </c>
      <c r="B223" s="1" t="n">
        <v>45757</v>
      </c>
      <c r="C223" s="1" t="n">
        <v>46202</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54423-2023</t>
        </is>
      </c>
      <c r="B224" s="1" t="n">
        <v>45233</v>
      </c>
      <c r="C224" s="1" t="n">
        <v>46202</v>
      </c>
      <c r="D224" t="inlineStr">
        <is>
          <t>DALARNAS LÄN</t>
        </is>
      </c>
      <c r="E224" t="inlineStr">
        <is>
          <t>HEDEMORA</t>
        </is>
      </c>
      <c r="G224" t="n">
        <v>3.4</v>
      </c>
      <c r="H224" t="n">
        <v>0</v>
      </c>
      <c r="I224" t="n">
        <v>0</v>
      </c>
      <c r="J224" t="n">
        <v>0</v>
      </c>
      <c r="K224" t="n">
        <v>0</v>
      </c>
      <c r="L224" t="n">
        <v>0</v>
      </c>
      <c r="M224" t="n">
        <v>0</v>
      </c>
      <c r="N224" t="n">
        <v>0</v>
      </c>
      <c r="O224" t="n">
        <v>0</v>
      </c>
      <c r="P224" t="n">
        <v>0</v>
      </c>
      <c r="Q224" t="n">
        <v>0</v>
      </c>
      <c r="R224" s="2" t="inlineStr"/>
    </row>
    <row r="225" ht="15" customHeight="1">
      <c r="A225" t="inlineStr">
        <is>
          <t>A 62386-2023</t>
        </is>
      </c>
      <c r="B225" s="1" t="n">
        <v>45268</v>
      </c>
      <c r="C225" s="1" t="n">
        <v>46202</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62398-2023</t>
        </is>
      </c>
      <c r="B226" s="1" t="n">
        <v>45268</v>
      </c>
      <c r="C226" s="1" t="n">
        <v>46202</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68553-2021</t>
        </is>
      </c>
      <c r="B227" s="1" t="n">
        <v>44529</v>
      </c>
      <c r="C227" s="1" t="n">
        <v>46202</v>
      </c>
      <c r="D227" t="inlineStr">
        <is>
          <t>DALARNAS LÄN</t>
        </is>
      </c>
      <c r="E227" t="inlineStr">
        <is>
          <t>HEDEMORA</t>
        </is>
      </c>
      <c r="G227" t="n">
        <v>3</v>
      </c>
      <c r="H227" t="n">
        <v>0</v>
      </c>
      <c r="I227" t="n">
        <v>0</v>
      </c>
      <c r="J227" t="n">
        <v>0</v>
      </c>
      <c r="K227" t="n">
        <v>0</v>
      </c>
      <c r="L227" t="n">
        <v>0</v>
      </c>
      <c r="M227" t="n">
        <v>0</v>
      </c>
      <c r="N227" t="n">
        <v>0</v>
      </c>
      <c r="O227" t="n">
        <v>0</v>
      </c>
      <c r="P227" t="n">
        <v>0</v>
      </c>
      <c r="Q227" t="n">
        <v>0</v>
      </c>
      <c r="R227" s="2" t="inlineStr"/>
    </row>
    <row r="228" ht="15" customHeight="1">
      <c r="A228" t="inlineStr">
        <is>
          <t>A 30939-2023</t>
        </is>
      </c>
      <c r="B228" s="1" t="n">
        <v>45113</v>
      </c>
      <c r="C228" s="1" t="n">
        <v>46202</v>
      </c>
      <c r="D228" t="inlineStr">
        <is>
          <t>DALARNAS LÄN</t>
        </is>
      </c>
      <c r="E228" t="inlineStr">
        <is>
          <t>HEDEMORA</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22273-2023</t>
        </is>
      </c>
      <c r="B229" s="1" t="n">
        <v>45070</v>
      </c>
      <c r="C229" s="1" t="n">
        <v>46202</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v>
      </c>
      <c r="C230" s="1" t="n">
        <v>46202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36117-2025</t>
        </is>
      </c>
      <c r="B231" s="1" t="n">
        <v>45866</v>
      </c>
      <c r="C231" s="1" t="n">
        <v>46202</v>
      </c>
      <c r="D231" t="inlineStr">
        <is>
          <t>DALARNAS LÄN</t>
        </is>
      </c>
      <c r="E231" t="inlineStr">
        <is>
          <t>HEDEMORA</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36206-2025</t>
        </is>
      </c>
      <c r="B232" s="1" t="n">
        <v>45867</v>
      </c>
      <c r="C232" s="1" t="n">
        <v>46202</v>
      </c>
      <c r="D232" t="inlineStr">
        <is>
          <t>DALARNAS LÄN</t>
        </is>
      </c>
      <c r="E232" t="inlineStr">
        <is>
          <t>HEDEMORA</t>
        </is>
      </c>
      <c r="G232" t="n">
        <v>0.1</v>
      </c>
      <c r="H232" t="n">
        <v>0</v>
      </c>
      <c r="I232" t="n">
        <v>0</v>
      </c>
      <c r="J232" t="n">
        <v>0</v>
      </c>
      <c r="K232" t="n">
        <v>0</v>
      </c>
      <c r="L232" t="n">
        <v>0</v>
      </c>
      <c r="M232" t="n">
        <v>0</v>
      </c>
      <c r="N232" t="n">
        <v>0</v>
      </c>
      <c r="O232" t="n">
        <v>0</v>
      </c>
      <c r="P232" t="n">
        <v>0</v>
      </c>
      <c r="Q232" t="n">
        <v>0</v>
      </c>
      <c r="R232" s="2" t="inlineStr"/>
    </row>
    <row r="233" ht="15" customHeight="1">
      <c r="A233" t="inlineStr">
        <is>
          <t>A 49636-2021</t>
        </is>
      </c>
      <c r="B233" s="1" t="n">
        <v>44455</v>
      </c>
      <c r="C233" s="1" t="n">
        <v>46202</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25691-2022</t>
        </is>
      </c>
      <c r="B234" s="1" t="n">
        <v>44733</v>
      </c>
      <c r="C234" s="1" t="n">
        <v>46202</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60475-2022</t>
        </is>
      </c>
      <c r="B235" s="1" t="n">
        <v>44911</v>
      </c>
      <c r="C235" s="1" t="n">
        <v>46202</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63925-2023</t>
        </is>
      </c>
      <c r="B236" s="1" t="n">
        <v>45278</v>
      </c>
      <c r="C236" s="1" t="n">
        <v>46202</v>
      </c>
      <c r="D236" t="inlineStr">
        <is>
          <t>DALARNAS LÄN</t>
        </is>
      </c>
      <c r="E236" t="inlineStr">
        <is>
          <t>HEDEMORA</t>
        </is>
      </c>
      <c r="G236" t="n">
        <v>5.2</v>
      </c>
      <c r="H236" t="n">
        <v>0</v>
      </c>
      <c r="I236" t="n">
        <v>0</v>
      </c>
      <c r="J236" t="n">
        <v>0</v>
      </c>
      <c r="K236" t="n">
        <v>0</v>
      </c>
      <c r="L236" t="n">
        <v>0</v>
      </c>
      <c r="M236" t="n">
        <v>0</v>
      </c>
      <c r="N236" t="n">
        <v>0</v>
      </c>
      <c r="O236" t="n">
        <v>0</v>
      </c>
      <c r="P236" t="n">
        <v>0</v>
      </c>
      <c r="Q236" t="n">
        <v>0</v>
      </c>
      <c r="R236" s="2" t="inlineStr"/>
    </row>
    <row r="237" ht="15" customHeight="1">
      <c r="A237" t="inlineStr">
        <is>
          <t>A 36656-2025</t>
        </is>
      </c>
      <c r="B237" s="1" t="n">
        <v>45873</v>
      </c>
      <c r="C237" s="1" t="n">
        <v>46202</v>
      </c>
      <c r="D237" t="inlineStr">
        <is>
          <t>DALARNAS LÄN</t>
        </is>
      </c>
      <c r="E237" t="inlineStr">
        <is>
          <t>HEDEMORA</t>
        </is>
      </c>
      <c r="G237" t="n">
        <v>1.7</v>
      </c>
      <c r="H237" t="n">
        <v>0</v>
      </c>
      <c r="I237" t="n">
        <v>0</v>
      </c>
      <c r="J237" t="n">
        <v>0</v>
      </c>
      <c r="K237" t="n">
        <v>0</v>
      </c>
      <c r="L237" t="n">
        <v>0</v>
      </c>
      <c r="M237" t="n">
        <v>0</v>
      </c>
      <c r="N237" t="n">
        <v>0</v>
      </c>
      <c r="O237" t="n">
        <v>0</v>
      </c>
      <c r="P237" t="n">
        <v>0</v>
      </c>
      <c r="Q237" t="n">
        <v>0</v>
      </c>
      <c r="R237" s="2" t="inlineStr"/>
    </row>
    <row r="238" ht="15" customHeight="1">
      <c r="A238" t="inlineStr">
        <is>
          <t>A 36306-2024</t>
        </is>
      </c>
      <c r="B238" s="1" t="n">
        <v>45534</v>
      </c>
      <c r="C238" s="1" t="n">
        <v>46202</v>
      </c>
      <c r="D238" t="inlineStr">
        <is>
          <t>DALARNAS LÄN</t>
        </is>
      </c>
      <c r="E238" t="inlineStr">
        <is>
          <t>HEDEMORA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21868-2025</t>
        </is>
      </c>
      <c r="B239" s="1" t="n">
        <v>45784</v>
      </c>
      <c r="C239" s="1" t="n">
        <v>46202</v>
      </c>
      <c r="D239" t="inlineStr">
        <is>
          <t>DALARNAS LÄN</t>
        </is>
      </c>
      <c r="E239" t="inlineStr">
        <is>
          <t>HEDEMORA</t>
        </is>
      </c>
      <c r="F239" t="inlineStr">
        <is>
          <t>Sveaskog</t>
        </is>
      </c>
      <c r="G239" t="n">
        <v>10.1</v>
      </c>
      <c r="H239" t="n">
        <v>0</v>
      </c>
      <c r="I239" t="n">
        <v>0</v>
      </c>
      <c r="J239" t="n">
        <v>0</v>
      </c>
      <c r="K239" t="n">
        <v>0</v>
      </c>
      <c r="L239" t="n">
        <v>0</v>
      </c>
      <c r="M239" t="n">
        <v>0</v>
      </c>
      <c r="N239" t="n">
        <v>0</v>
      </c>
      <c r="O239" t="n">
        <v>0</v>
      </c>
      <c r="P239" t="n">
        <v>0</v>
      </c>
      <c r="Q239" t="n">
        <v>0</v>
      </c>
      <c r="R239" s="2" t="inlineStr"/>
    </row>
    <row r="240" ht="15" customHeight="1">
      <c r="A240" t="inlineStr">
        <is>
          <t>A 30430-2023</t>
        </is>
      </c>
      <c r="B240" s="1" t="n">
        <v>45111</v>
      </c>
      <c r="C240" s="1" t="n">
        <v>46202</v>
      </c>
      <c r="D240" t="inlineStr">
        <is>
          <t>DALARNAS LÄN</t>
        </is>
      </c>
      <c r="E240" t="inlineStr">
        <is>
          <t>HEDEMORA</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63941-2023</t>
        </is>
      </c>
      <c r="B241" s="1" t="n">
        <v>45278</v>
      </c>
      <c r="C241" s="1" t="n">
        <v>46202</v>
      </c>
      <c r="D241" t="inlineStr">
        <is>
          <t>DALARNAS LÄN</t>
        </is>
      </c>
      <c r="E241" t="inlineStr">
        <is>
          <t>HEDEMORA</t>
        </is>
      </c>
      <c r="G241" t="n">
        <v>1.1</v>
      </c>
      <c r="H241" t="n">
        <v>0</v>
      </c>
      <c r="I241" t="n">
        <v>0</v>
      </c>
      <c r="J241" t="n">
        <v>0</v>
      </c>
      <c r="K241" t="n">
        <v>0</v>
      </c>
      <c r="L241" t="n">
        <v>0</v>
      </c>
      <c r="M241" t="n">
        <v>0</v>
      </c>
      <c r="N241" t="n">
        <v>0</v>
      </c>
      <c r="O241" t="n">
        <v>0</v>
      </c>
      <c r="P241" t="n">
        <v>0</v>
      </c>
      <c r="Q241" t="n">
        <v>0</v>
      </c>
      <c r="R241" s="2" t="inlineStr"/>
    </row>
    <row r="242" ht="15" customHeight="1">
      <c r="A242" t="inlineStr">
        <is>
          <t>A 60408-2021</t>
        </is>
      </c>
      <c r="B242" s="1" t="n">
        <v>44495</v>
      </c>
      <c r="C242" s="1" t="n">
        <v>46202</v>
      </c>
      <c r="D242" t="inlineStr">
        <is>
          <t>DALARNAS LÄN</t>
        </is>
      </c>
      <c r="E242" t="inlineStr">
        <is>
          <t>HEDEMORA</t>
        </is>
      </c>
      <c r="G242" t="n">
        <v>0.7</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46202</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43785-2023</t>
        </is>
      </c>
      <c r="B244" s="1" t="n">
        <v>45187</v>
      </c>
      <c r="C244" s="1" t="n">
        <v>46202</v>
      </c>
      <c r="D244" t="inlineStr">
        <is>
          <t>DALARNAS LÄN</t>
        </is>
      </c>
      <c r="E244" t="inlineStr">
        <is>
          <t>HEDEMORA</t>
        </is>
      </c>
      <c r="F244" t="inlineStr">
        <is>
          <t>Sveaskog</t>
        </is>
      </c>
      <c r="G244" t="n">
        <v>5.7</v>
      </c>
      <c r="H244" t="n">
        <v>0</v>
      </c>
      <c r="I244" t="n">
        <v>0</v>
      </c>
      <c r="J244" t="n">
        <v>0</v>
      </c>
      <c r="K244" t="n">
        <v>0</v>
      </c>
      <c r="L244" t="n">
        <v>0</v>
      </c>
      <c r="M244" t="n">
        <v>0</v>
      </c>
      <c r="N244" t="n">
        <v>0</v>
      </c>
      <c r="O244" t="n">
        <v>0</v>
      </c>
      <c r="P244" t="n">
        <v>0</v>
      </c>
      <c r="Q244" t="n">
        <v>0</v>
      </c>
      <c r="R244" s="2" t="inlineStr"/>
    </row>
    <row r="245" ht="15" customHeight="1">
      <c r="A245" t="inlineStr">
        <is>
          <t>A 34185-2025</t>
        </is>
      </c>
      <c r="B245" s="1" t="n">
        <v>45845</v>
      </c>
      <c r="C245" s="1" t="n">
        <v>46202</v>
      </c>
      <c r="D245" t="inlineStr">
        <is>
          <t>DALARNAS LÄN</t>
        </is>
      </c>
      <c r="E245" t="inlineStr">
        <is>
          <t>HEDEMORA</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6210-2024</t>
        </is>
      </c>
      <c r="B246" s="1" t="n">
        <v>45337</v>
      </c>
      <c r="C246" s="1" t="n">
        <v>46202</v>
      </c>
      <c r="D246" t="inlineStr">
        <is>
          <t>DALARNAS LÄN</t>
        </is>
      </c>
      <c r="E246" t="inlineStr">
        <is>
          <t>HEDEMORA</t>
        </is>
      </c>
      <c r="G246" t="n">
        <v>2.6</v>
      </c>
      <c r="H246" t="n">
        <v>0</v>
      </c>
      <c r="I246" t="n">
        <v>0</v>
      </c>
      <c r="J246" t="n">
        <v>0</v>
      </c>
      <c r="K246" t="n">
        <v>0</v>
      </c>
      <c r="L246" t="n">
        <v>0</v>
      </c>
      <c r="M246" t="n">
        <v>0</v>
      </c>
      <c r="N246" t="n">
        <v>0</v>
      </c>
      <c r="O246" t="n">
        <v>0</v>
      </c>
      <c r="P246" t="n">
        <v>0</v>
      </c>
      <c r="Q246" t="n">
        <v>0</v>
      </c>
      <c r="R246" s="2" t="inlineStr"/>
    </row>
    <row r="247" ht="15" customHeight="1">
      <c r="A247" t="inlineStr">
        <is>
          <t>A 48238-2025</t>
        </is>
      </c>
      <c r="B247" s="1" t="n">
        <v>45933</v>
      </c>
      <c r="C247" s="1" t="n">
        <v>46202</v>
      </c>
      <c r="D247" t="inlineStr">
        <is>
          <t>DALARNAS LÄN</t>
        </is>
      </c>
      <c r="E247" t="inlineStr">
        <is>
          <t>HEDEMORA</t>
        </is>
      </c>
      <c r="G247" t="n">
        <v>1.3</v>
      </c>
      <c r="H247" t="n">
        <v>0</v>
      </c>
      <c r="I247" t="n">
        <v>0</v>
      </c>
      <c r="J247" t="n">
        <v>0</v>
      </c>
      <c r="K247" t="n">
        <v>0</v>
      </c>
      <c r="L247" t="n">
        <v>0</v>
      </c>
      <c r="M247" t="n">
        <v>0</v>
      </c>
      <c r="N247" t="n">
        <v>0</v>
      </c>
      <c r="O247" t="n">
        <v>0</v>
      </c>
      <c r="P247" t="n">
        <v>0</v>
      </c>
      <c r="Q247" t="n">
        <v>0</v>
      </c>
      <c r="R247" s="2" t="inlineStr"/>
    </row>
    <row r="248" ht="15" customHeight="1">
      <c r="A248" t="inlineStr">
        <is>
          <t>A 39390-2025</t>
        </is>
      </c>
      <c r="B248" s="1" t="n">
        <v>45889</v>
      </c>
      <c r="C248" s="1" t="n">
        <v>46202</v>
      </c>
      <c r="D248" t="inlineStr">
        <is>
          <t>DALARNAS LÄN</t>
        </is>
      </c>
      <c r="E248" t="inlineStr">
        <is>
          <t>HEDEMORA</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39393-2025</t>
        </is>
      </c>
      <c r="B249" s="1" t="n">
        <v>45889</v>
      </c>
      <c r="C249" s="1" t="n">
        <v>46202</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62401-2023</t>
        </is>
      </c>
      <c r="B250" s="1" t="n">
        <v>45268</v>
      </c>
      <c r="C250" s="1" t="n">
        <v>46202</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40456-2025</t>
        </is>
      </c>
      <c r="B251" s="1" t="n">
        <v>45895</v>
      </c>
      <c r="C251" s="1" t="n">
        <v>46202</v>
      </c>
      <c r="D251" t="inlineStr">
        <is>
          <t>DALARNAS LÄN</t>
        </is>
      </c>
      <c r="E251" t="inlineStr">
        <is>
          <t>HEDEMORA</t>
        </is>
      </c>
      <c r="F251" t="inlineStr">
        <is>
          <t>Bergvik skog väst AB</t>
        </is>
      </c>
      <c r="G251" t="n">
        <v>3.3</v>
      </c>
      <c r="H251" t="n">
        <v>0</v>
      </c>
      <c r="I251" t="n">
        <v>0</v>
      </c>
      <c r="J251" t="n">
        <v>0</v>
      </c>
      <c r="K251" t="n">
        <v>0</v>
      </c>
      <c r="L251" t="n">
        <v>0</v>
      </c>
      <c r="M251" t="n">
        <v>0</v>
      </c>
      <c r="N251" t="n">
        <v>0</v>
      </c>
      <c r="O251" t="n">
        <v>0</v>
      </c>
      <c r="P251" t="n">
        <v>0</v>
      </c>
      <c r="Q251" t="n">
        <v>0</v>
      </c>
      <c r="R251" s="2" t="inlineStr"/>
    </row>
    <row r="252" ht="15" customHeight="1">
      <c r="A252" t="inlineStr">
        <is>
          <t>A 19688-2025</t>
        </is>
      </c>
      <c r="B252" s="1" t="n">
        <v>45770</v>
      </c>
      <c r="C252" s="1" t="n">
        <v>46202</v>
      </c>
      <c r="D252" t="inlineStr">
        <is>
          <t>DALARNAS LÄN</t>
        </is>
      </c>
      <c r="E252" t="inlineStr">
        <is>
          <t>HEDEMORA</t>
        </is>
      </c>
      <c r="G252" t="n">
        <v>1.9</v>
      </c>
      <c r="H252" t="n">
        <v>0</v>
      </c>
      <c r="I252" t="n">
        <v>0</v>
      </c>
      <c r="J252" t="n">
        <v>0</v>
      </c>
      <c r="K252" t="n">
        <v>0</v>
      </c>
      <c r="L252" t="n">
        <v>0</v>
      </c>
      <c r="M252" t="n">
        <v>0</v>
      </c>
      <c r="N252" t="n">
        <v>0</v>
      </c>
      <c r="O252" t="n">
        <v>0</v>
      </c>
      <c r="P252" t="n">
        <v>0</v>
      </c>
      <c r="Q252" t="n">
        <v>0</v>
      </c>
      <c r="R252" s="2" t="inlineStr"/>
    </row>
    <row r="253" ht="15" customHeight="1">
      <c r="A253" t="inlineStr">
        <is>
          <t>A 19689-2025</t>
        </is>
      </c>
      <c r="B253" s="1" t="n">
        <v>45770</v>
      </c>
      <c r="C253" s="1" t="n">
        <v>46202</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51256-2024</t>
        </is>
      </c>
      <c r="B254" s="1" t="n">
        <v>45603</v>
      </c>
      <c r="C254" s="1" t="n">
        <v>46202</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51615-2025</t>
        </is>
      </c>
      <c r="B255" s="1" t="n">
        <v>45951</v>
      </c>
      <c r="C255" s="1" t="n">
        <v>46202</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51695-2025</t>
        </is>
      </c>
      <c r="B256" s="1" t="n">
        <v>45951</v>
      </c>
      <c r="C256" s="1" t="n">
        <v>46202</v>
      </c>
      <c r="D256" t="inlineStr">
        <is>
          <t>DALARNAS LÄN</t>
        </is>
      </c>
      <c r="E256" t="inlineStr">
        <is>
          <t>HEDEMORA</t>
        </is>
      </c>
      <c r="G256" t="n">
        <v>2.1</v>
      </c>
      <c r="H256" t="n">
        <v>0</v>
      </c>
      <c r="I256" t="n">
        <v>0</v>
      </c>
      <c r="J256" t="n">
        <v>0</v>
      </c>
      <c r="K256" t="n">
        <v>0</v>
      </c>
      <c r="L256" t="n">
        <v>0</v>
      </c>
      <c r="M256" t="n">
        <v>0</v>
      </c>
      <c r="N256" t="n">
        <v>0</v>
      </c>
      <c r="O256" t="n">
        <v>0</v>
      </c>
      <c r="P256" t="n">
        <v>0</v>
      </c>
      <c r="Q256" t="n">
        <v>0</v>
      </c>
      <c r="R256" s="2" t="inlineStr"/>
    </row>
    <row r="257" ht="15" customHeight="1">
      <c r="A257" t="inlineStr">
        <is>
          <t>A 52714-2025</t>
        </is>
      </c>
      <c r="B257" s="1" t="n">
        <v>45953</v>
      </c>
      <c r="C257" s="1" t="n">
        <v>46202</v>
      </c>
      <c r="D257" t="inlineStr">
        <is>
          <t>DALARNAS LÄN</t>
        </is>
      </c>
      <c r="E257" t="inlineStr">
        <is>
          <t>HEDEMORA</t>
        </is>
      </c>
      <c r="F257" t="inlineStr">
        <is>
          <t>Bergvik skog väst AB</t>
        </is>
      </c>
      <c r="G257" t="n">
        <v>14.7</v>
      </c>
      <c r="H257" t="n">
        <v>0</v>
      </c>
      <c r="I257" t="n">
        <v>0</v>
      </c>
      <c r="J257" t="n">
        <v>0</v>
      </c>
      <c r="K257" t="n">
        <v>0</v>
      </c>
      <c r="L257" t="n">
        <v>0</v>
      </c>
      <c r="M257" t="n">
        <v>0</v>
      </c>
      <c r="N257" t="n">
        <v>0</v>
      </c>
      <c r="O257" t="n">
        <v>0</v>
      </c>
      <c r="P257" t="n">
        <v>0</v>
      </c>
      <c r="Q257" t="n">
        <v>0</v>
      </c>
      <c r="R257" s="2" t="inlineStr"/>
    </row>
    <row r="258" ht="15" customHeight="1">
      <c r="A258" t="inlineStr">
        <is>
          <t>A 51943-2025</t>
        </is>
      </c>
      <c r="B258" s="1" t="n">
        <v>45952</v>
      </c>
      <c r="C258" s="1" t="n">
        <v>46202</v>
      </c>
      <c r="D258" t="inlineStr">
        <is>
          <t>DALARNAS LÄN</t>
        </is>
      </c>
      <c r="E258" t="inlineStr">
        <is>
          <t>HEDEMORA</t>
        </is>
      </c>
      <c r="G258" t="n">
        <v>4.5</v>
      </c>
      <c r="H258" t="n">
        <v>0</v>
      </c>
      <c r="I258" t="n">
        <v>0</v>
      </c>
      <c r="J258" t="n">
        <v>0</v>
      </c>
      <c r="K258" t="n">
        <v>0</v>
      </c>
      <c r="L258" t="n">
        <v>0</v>
      </c>
      <c r="M258" t="n">
        <v>0</v>
      </c>
      <c r="N258" t="n">
        <v>0</v>
      </c>
      <c r="O258" t="n">
        <v>0</v>
      </c>
      <c r="P258" t="n">
        <v>0</v>
      </c>
      <c r="Q258" t="n">
        <v>0</v>
      </c>
      <c r="R258" s="2" t="inlineStr"/>
    </row>
    <row r="259" ht="15" customHeight="1">
      <c r="A259" t="inlineStr">
        <is>
          <t>A 63908-2021</t>
        </is>
      </c>
      <c r="B259" s="1" t="n">
        <v>44509</v>
      </c>
      <c r="C259" s="1" t="n">
        <v>46202</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52853-2025</t>
        </is>
      </c>
      <c r="B260" s="1" t="n">
        <v>45957</v>
      </c>
      <c r="C260" s="1" t="n">
        <v>46202</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42645-2025</t>
        </is>
      </c>
      <c r="B261" s="1" t="n">
        <v>45906</v>
      </c>
      <c r="C261" s="1" t="n">
        <v>46202</v>
      </c>
      <c r="D261" t="inlineStr">
        <is>
          <t>DALARNAS LÄN</t>
        </is>
      </c>
      <c r="E261" t="inlineStr">
        <is>
          <t>HEDEMORA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53040-2025</t>
        </is>
      </c>
      <c r="B262" s="1" t="n">
        <v>45958</v>
      </c>
      <c r="C262" s="1" t="n">
        <v>46202</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9314-2024</t>
        </is>
      </c>
      <c r="B263" s="1" t="n">
        <v>45358</v>
      </c>
      <c r="C263" s="1" t="n">
        <v>46202</v>
      </c>
      <c r="D263" t="inlineStr">
        <is>
          <t>DALARNAS LÄN</t>
        </is>
      </c>
      <c r="E263" t="inlineStr">
        <is>
          <t>HEDEMORA</t>
        </is>
      </c>
      <c r="G263" t="n">
        <v>1.4</v>
      </c>
      <c r="H263" t="n">
        <v>0</v>
      </c>
      <c r="I263" t="n">
        <v>0</v>
      </c>
      <c r="J263" t="n">
        <v>0</v>
      </c>
      <c r="K263" t="n">
        <v>0</v>
      </c>
      <c r="L263" t="n">
        <v>0</v>
      </c>
      <c r="M263" t="n">
        <v>0</v>
      </c>
      <c r="N263" t="n">
        <v>0</v>
      </c>
      <c r="O263" t="n">
        <v>0</v>
      </c>
      <c r="P263" t="n">
        <v>0</v>
      </c>
      <c r="Q263" t="n">
        <v>0</v>
      </c>
      <c r="R263" s="2" t="inlineStr"/>
    </row>
    <row r="264" ht="15" customHeight="1">
      <c r="A264" t="inlineStr">
        <is>
          <t>A 53044-2025</t>
        </is>
      </c>
      <c r="B264" s="1" t="n">
        <v>45958</v>
      </c>
      <c r="C264" s="1" t="n">
        <v>46202</v>
      </c>
      <c r="D264" t="inlineStr">
        <is>
          <t>DALARNAS LÄN</t>
        </is>
      </c>
      <c r="E264" t="inlineStr">
        <is>
          <t>HEDEMORA</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55882-2023</t>
        </is>
      </c>
      <c r="B265" s="1" t="n">
        <v>45239</v>
      </c>
      <c r="C265" s="1" t="n">
        <v>46202</v>
      </c>
      <c r="D265" t="inlineStr">
        <is>
          <t>DALARNAS LÄN</t>
        </is>
      </c>
      <c r="E265" t="inlineStr">
        <is>
          <t>HEDEMORA</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54040-2025</t>
        </is>
      </c>
      <c r="B266" s="1" t="n">
        <v>45963</v>
      </c>
      <c r="C266" s="1" t="n">
        <v>46202</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32738-2022</t>
        </is>
      </c>
      <c r="B267" s="1" t="n">
        <v>44783</v>
      </c>
      <c r="C267" s="1" t="n">
        <v>46202</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33287-2025</t>
        </is>
      </c>
      <c r="B268" s="1" t="n">
        <v>45840</v>
      </c>
      <c r="C268" s="1" t="n">
        <v>46202</v>
      </c>
      <c r="D268" t="inlineStr">
        <is>
          <t>DALARNAS LÄN</t>
        </is>
      </c>
      <c r="E268" t="inlineStr">
        <is>
          <t>HEDEMORA</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23435-2025</t>
        </is>
      </c>
      <c r="B269" s="1" t="n">
        <v>45792</v>
      </c>
      <c r="C269" s="1" t="n">
        <v>46202</v>
      </c>
      <c r="D269" t="inlineStr">
        <is>
          <t>DALARNAS LÄN</t>
        </is>
      </c>
      <c r="E269" t="inlineStr">
        <is>
          <t>HEDEMORA</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v>
      </c>
      <c r="C270" s="1" t="n">
        <v>46202</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25195-2024</t>
        </is>
      </c>
      <c r="B271" s="1" t="n">
        <v>45462</v>
      </c>
      <c r="C271" s="1" t="n">
        <v>46202</v>
      </c>
      <c r="D271" t="inlineStr">
        <is>
          <t>DALARNAS LÄN</t>
        </is>
      </c>
      <c r="E271" t="inlineStr">
        <is>
          <t>HEDEMORA</t>
        </is>
      </c>
      <c r="F271" t="inlineStr">
        <is>
          <t>Övriga statliga verk och myndigheter</t>
        </is>
      </c>
      <c r="G271" t="n">
        <v>3.3</v>
      </c>
      <c r="H271" t="n">
        <v>0</v>
      </c>
      <c r="I271" t="n">
        <v>0</v>
      </c>
      <c r="J271" t="n">
        <v>0</v>
      </c>
      <c r="K271" t="n">
        <v>0</v>
      </c>
      <c r="L271" t="n">
        <v>0</v>
      </c>
      <c r="M271" t="n">
        <v>0</v>
      </c>
      <c r="N271" t="n">
        <v>0</v>
      </c>
      <c r="O271" t="n">
        <v>0</v>
      </c>
      <c r="P271" t="n">
        <v>0</v>
      </c>
      <c r="Q271" t="n">
        <v>0</v>
      </c>
      <c r="R271" s="2" t="inlineStr"/>
    </row>
    <row r="272" ht="15" customHeight="1">
      <c r="A272" t="inlineStr">
        <is>
          <t>A 17594-2025</t>
        </is>
      </c>
      <c r="B272" s="1" t="n">
        <v>45757</v>
      </c>
      <c r="C272" s="1" t="n">
        <v>46202</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48147-2025</t>
        </is>
      </c>
      <c r="B273" s="1" t="n">
        <v>45933</v>
      </c>
      <c r="C273" s="1" t="n">
        <v>46202</v>
      </c>
      <c r="D273" t="inlineStr">
        <is>
          <t>DALARNAS LÄN</t>
        </is>
      </c>
      <c r="E273" t="inlineStr">
        <is>
          <t>HEDEMORA</t>
        </is>
      </c>
      <c r="G273" t="n">
        <v>6.6</v>
      </c>
      <c r="H273" t="n">
        <v>0</v>
      </c>
      <c r="I273" t="n">
        <v>0</v>
      </c>
      <c r="J273" t="n">
        <v>0</v>
      </c>
      <c r="K273" t="n">
        <v>0</v>
      </c>
      <c r="L273" t="n">
        <v>0</v>
      </c>
      <c r="M273" t="n">
        <v>0</v>
      </c>
      <c r="N273" t="n">
        <v>0</v>
      </c>
      <c r="O273" t="n">
        <v>0</v>
      </c>
      <c r="P273" t="n">
        <v>0</v>
      </c>
      <c r="Q273" t="n">
        <v>0</v>
      </c>
      <c r="R273" s="2" t="inlineStr"/>
    </row>
    <row r="274" ht="15" customHeight="1">
      <c r="A274" t="inlineStr">
        <is>
          <t>A 45936-2025</t>
        </is>
      </c>
      <c r="B274" s="1" t="n">
        <v>45924</v>
      </c>
      <c r="C274" s="1" t="n">
        <v>46202</v>
      </c>
      <c r="D274" t="inlineStr">
        <is>
          <t>DALARNAS LÄN</t>
        </is>
      </c>
      <c r="E274" t="inlineStr">
        <is>
          <t>HEDEMORA</t>
        </is>
      </c>
      <c r="G274" t="n">
        <v>4.7</v>
      </c>
      <c r="H274" t="n">
        <v>0</v>
      </c>
      <c r="I274" t="n">
        <v>0</v>
      </c>
      <c r="J274" t="n">
        <v>0</v>
      </c>
      <c r="K274" t="n">
        <v>0</v>
      </c>
      <c r="L274" t="n">
        <v>0</v>
      </c>
      <c r="M274" t="n">
        <v>0</v>
      </c>
      <c r="N274" t="n">
        <v>0</v>
      </c>
      <c r="O274" t="n">
        <v>0</v>
      </c>
      <c r="P274" t="n">
        <v>0</v>
      </c>
      <c r="Q274" t="n">
        <v>0</v>
      </c>
      <c r="R274" s="2" t="inlineStr"/>
    </row>
    <row r="275" ht="15" customHeight="1">
      <c r="A275" t="inlineStr">
        <is>
          <t>A 55159-2025</t>
        </is>
      </c>
      <c r="B275" s="1" t="n">
        <v>45968</v>
      </c>
      <c r="C275" s="1" t="n">
        <v>46202</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33288-2025</t>
        </is>
      </c>
      <c r="B276" s="1" t="n">
        <v>45840</v>
      </c>
      <c r="C276" s="1" t="n">
        <v>46202</v>
      </c>
      <c r="D276" t="inlineStr">
        <is>
          <t>DALARNAS LÄN</t>
        </is>
      </c>
      <c r="E276" t="inlineStr">
        <is>
          <t>HEDEMORA</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39389-2025</t>
        </is>
      </c>
      <c r="B277" s="1" t="n">
        <v>45889</v>
      </c>
      <c r="C277" s="1" t="n">
        <v>46202</v>
      </c>
      <c r="D277" t="inlineStr">
        <is>
          <t>DALARNAS LÄN</t>
        </is>
      </c>
      <c r="E277" t="inlineStr">
        <is>
          <t>HEDEMORA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55606-2025</t>
        </is>
      </c>
      <c r="B278" s="1" t="n">
        <v>45971</v>
      </c>
      <c r="C278" s="1" t="n">
        <v>46202</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56070-2025</t>
        </is>
      </c>
      <c r="B279" s="1" t="n">
        <v>45973</v>
      </c>
      <c r="C279" s="1" t="n">
        <v>46202</v>
      </c>
      <c r="D279" t="inlineStr">
        <is>
          <t>DALARNAS LÄN</t>
        </is>
      </c>
      <c r="E279" t="inlineStr">
        <is>
          <t>HEDEMORA</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56679-2025</t>
        </is>
      </c>
      <c r="B280" s="1" t="n">
        <v>45975</v>
      </c>
      <c r="C280" s="1" t="n">
        <v>46202</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25021-2025</t>
        </is>
      </c>
      <c r="B281" s="1" t="n">
        <v>45799</v>
      </c>
      <c r="C281" s="1" t="n">
        <v>46202</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19397-2024</t>
        </is>
      </c>
      <c r="B282" s="1" t="n">
        <v>45429</v>
      </c>
      <c r="C282" s="1" t="n">
        <v>46202</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37574-2025</t>
        </is>
      </c>
      <c r="B283" s="1" t="n">
        <v>45880</v>
      </c>
      <c r="C283" s="1" t="n">
        <v>46202</v>
      </c>
      <c r="D283" t="inlineStr">
        <is>
          <t>DALARNAS LÄN</t>
        </is>
      </c>
      <c r="E283" t="inlineStr">
        <is>
          <t>HEDEMORA</t>
        </is>
      </c>
      <c r="F283" t="inlineStr">
        <is>
          <t>Sveaskog</t>
        </is>
      </c>
      <c r="G283" t="n">
        <v>5.7</v>
      </c>
      <c r="H283" t="n">
        <v>0</v>
      </c>
      <c r="I283" t="n">
        <v>0</v>
      </c>
      <c r="J283" t="n">
        <v>0</v>
      </c>
      <c r="K283" t="n">
        <v>0</v>
      </c>
      <c r="L283" t="n">
        <v>0</v>
      </c>
      <c r="M283" t="n">
        <v>0</v>
      </c>
      <c r="N283" t="n">
        <v>0</v>
      </c>
      <c r="O283" t="n">
        <v>0</v>
      </c>
      <c r="P283" t="n">
        <v>0</v>
      </c>
      <c r="Q283" t="n">
        <v>0</v>
      </c>
      <c r="R283" s="2" t="inlineStr"/>
    </row>
    <row r="284" ht="15" customHeight="1">
      <c r="A284" t="inlineStr">
        <is>
          <t>A 37573-2025</t>
        </is>
      </c>
      <c r="B284" s="1" t="n">
        <v>45880</v>
      </c>
      <c r="C284" s="1" t="n">
        <v>46202</v>
      </c>
      <c r="D284" t="inlineStr">
        <is>
          <t>DALARNAS LÄN</t>
        </is>
      </c>
      <c r="E284" t="inlineStr">
        <is>
          <t>HEDEMORA</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62407-2025</t>
        </is>
      </c>
      <c r="B285" s="1" t="n">
        <v>46007</v>
      </c>
      <c r="C285" s="1" t="n">
        <v>46202</v>
      </c>
      <c r="D285" t="inlineStr">
        <is>
          <t>DALARNAS LÄN</t>
        </is>
      </c>
      <c r="E285" t="inlineStr">
        <is>
          <t>HEDEMORA</t>
        </is>
      </c>
      <c r="G285" t="n">
        <v>2.2</v>
      </c>
      <c r="H285" t="n">
        <v>0</v>
      </c>
      <c r="I285" t="n">
        <v>0</v>
      </c>
      <c r="J285" t="n">
        <v>0</v>
      </c>
      <c r="K285" t="n">
        <v>0</v>
      </c>
      <c r="L285" t="n">
        <v>0</v>
      </c>
      <c r="M285" t="n">
        <v>0</v>
      </c>
      <c r="N285" t="n">
        <v>0</v>
      </c>
      <c r="O285" t="n">
        <v>0</v>
      </c>
      <c r="P285" t="n">
        <v>0</v>
      </c>
      <c r="Q285" t="n">
        <v>0</v>
      </c>
      <c r="R285" s="2" t="inlineStr"/>
    </row>
    <row r="286" ht="15" customHeight="1">
      <c r="A286" t="inlineStr">
        <is>
          <t>A 45097-2025</t>
        </is>
      </c>
      <c r="B286" s="1" t="n">
        <v>45919</v>
      </c>
      <c r="C286" s="1" t="n">
        <v>46202</v>
      </c>
      <c r="D286" t="inlineStr">
        <is>
          <t>DALARNAS LÄN</t>
        </is>
      </c>
      <c r="E286" t="inlineStr">
        <is>
          <t>HEDEMORA</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42510-2025</t>
        </is>
      </c>
      <c r="B287" s="1" t="n">
        <v>45905</v>
      </c>
      <c r="C287" s="1" t="n">
        <v>46202</v>
      </c>
      <c r="D287" t="inlineStr">
        <is>
          <t>DALARNAS LÄN</t>
        </is>
      </c>
      <c r="E287" t="inlineStr">
        <is>
          <t>HEDEMORA</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47841-2025</t>
        </is>
      </c>
      <c r="B288" s="1" t="n">
        <v>45932</v>
      </c>
      <c r="C288" s="1" t="n">
        <v>46202</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48381-2025</t>
        </is>
      </c>
      <c r="B289" s="1" t="n">
        <v>45933</v>
      </c>
      <c r="C289" s="1" t="n">
        <v>46202</v>
      </c>
      <c r="D289" t="inlineStr">
        <is>
          <t>DALARNAS LÄN</t>
        </is>
      </c>
      <c r="E289" t="inlineStr">
        <is>
          <t>HEDEMORA</t>
        </is>
      </c>
      <c r="F289" t="inlineStr">
        <is>
          <t>Sveaskog</t>
        </is>
      </c>
      <c r="G289" t="n">
        <v>6.3</v>
      </c>
      <c r="H289" t="n">
        <v>0</v>
      </c>
      <c r="I289" t="n">
        <v>0</v>
      </c>
      <c r="J289" t="n">
        <v>0</v>
      </c>
      <c r="K289" t="n">
        <v>0</v>
      </c>
      <c r="L289" t="n">
        <v>0</v>
      </c>
      <c r="M289" t="n">
        <v>0</v>
      </c>
      <c r="N289" t="n">
        <v>0</v>
      </c>
      <c r="O289" t="n">
        <v>0</v>
      </c>
      <c r="P289" t="n">
        <v>0</v>
      </c>
      <c r="Q289" t="n">
        <v>0</v>
      </c>
      <c r="R289" s="2" t="inlineStr"/>
    </row>
    <row r="290" ht="15" customHeight="1">
      <c r="A290" t="inlineStr">
        <is>
          <t>A 45290-2025</t>
        </is>
      </c>
      <c r="B290" s="1" t="n">
        <v>45920</v>
      </c>
      <c r="C290" s="1" t="n">
        <v>46202</v>
      </c>
      <c r="D290" t="inlineStr">
        <is>
          <t>DALARNAS LÄN</t>
        </is>
      </c>
      <c r="E290" t="inlineStr">
        <is>
          <t>HEDEMORA</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63900-2025</t>
        </is>
      </c>
      <c r="B291" s="1" t="n">
        <v>46020</v>
      </c>
      <c r="C291" s="1" t="n">
        <v>46202</v>
      </c>
      <c r="D291" t="inlineStr">
        <is>
          <t>DALARNAS LÄN</t>
        </is>
      </c>
      <c r="E291" t="inlineStr">
        <is>
          <t>HEDEMORA</t>
        </is>
      </c>
      <c r="G291" t="n">
        <v>3.4</v>
      </c>
      <c r="H291" t="n">
        <v>0</v>
      </c>
      <c r="I291" t="n">
        <v>0</v>
      </c>
      <c r="J291" t="n">
        <v>0</v>
      </c>
      <c r="K291" t="n">
        <v>0</v>
      </c>
      <c r="L291" t="n">
        <v>0</v>
      </c>
      <c r="M291" t="n">
        <v>0</v>
      </c>
      <c r="N291" t="n">
        <v>0</v>
      </c>
      <c r="O291" t="n">
        <v>0</v>
      </c>
      <c r="P291" t="n">
        <v>0</v>
      </c>
      <c r="Q291" t="n">
        <v>0</v>
      </c>
      <c r="R291" s="2" t="inlineStr"/>
    </row>
    <row r="292" ht="15" customHeight="1">
      <c r="A292" t="inlineStr">
        <is>
          <t>A 64045-2025</t>
        </is>
      </c>
      <c r="B292" s="1" t="n">
        <v>46021</v>
      </c>
      <c r="C292" s="1" t="n">
        <v>46202</v>
      </c>
      <c r="D292" t="inlineStr">
        <is>
          <t>DALARNAS LÄN</t>
        </is>
      </c>
      <c r="E292" t="inlineStr">
        <is>
          <t>HEDEMORA</t>
        </is>
      </c>
      <c r="G292" t="n">
        <v>3.1</v>
      </c>
      <c r="H292" t="n">
        <v>0</v>
      </c>
      <c r="I292" t="n">
        <v>0</v>
      </c>
      <c r="J292" t="n">
        <v>0</v>
      </c>
      <c r="K292" t="n">
        <v>0</v>
      </c>
      <c r="L292" t="n">
        <v>0</v>
      </c>
      <c r="M292" t="n">
        <v>0</v>
      </c>
      <c r="N292" t="n">
        <v>0</v>
      </c>
      <c r="O292" t="n">
        <v>0</v>
      </c>
      <c r="P292" t="n">
        <v>0</v>
      </c>
      <c r="Q292" t="n">
        <v>0</v>
      </c>
      <c r="R292" s="2" t="inlineStr"/>
    </row>
    <row r="293" ht="15" customHeight="1">
      <c r="A293" t="inlineStr">
        <is>
          <t>A 63853-2025</t>
        </is>
      </c>
      <c r="B293" s="1" t="n">
        <v>46020</v>
      </c>
      <c r="C293" s="1" t="n">
        <v>46202</v>
      </c>
      <c r="D293" t="inlineStr">
        <is>
          <t>DALARNAS LÄN</t>
        </is>
      </c>
      <c r="E293" t="inlineStr">
        <is>
          <t>HEDEMORA</t>
        </is>
      </c>
      <c r="G293" t="n">
        <v>1.8</v>
      </c>
      <c r="H293" t="n">
        <v>0</v>
      </c>
      <c r="I293" t="n">
        <v>0</v>
      </c>
      <c r="J293" t="n">
        <v>0</v>
      </c>
      <c r="K293" t="n">
        <v>0</v>
      </c>
      <c r="L293" t="n">
        <v>0</v>
      </c>
      <c r="M293" t="n">
        <v>0</v>
      </c>
      <c r="N293" t="n">
        <v>0</v>
      </c>
      <c r="O293" t="n">
        <v>0</v>
      </c>
      <c r="P293" t="n">
        <v>0</v>
      </c>
      <c r="Q293" t="n">
        <v>0</v>
      </c>
      <c r="R293" s="2" t="inlineStr"/>
    </row>
    <row r="294" ht="15" customHeight="1">
      <c r="A294" t="inlineStr">
        <is>
          <t>A 49772-2025</t>
        </is>
      </c>
      <c r="B294" s="1" t="n">
        <v>45940</v>
      </c>
      <c r="C294" s="1" t="n">
        <v>46202</v>
      </c>
      <c r="D294" t="inlineStr">
        <is>
          <t>DALARNAS LÄN</t>
        </is>
      </c>
      <c r="E294" t="inlineStr">
        <is>
          <t>HEDEMORA</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49771-2025</t>
        </is>
      </c>
      <c r="B295" s="1" t="n">
        <v>45940</v>
      </c>
      <c r="C295" s="1" t="n">
        <v>46202</v>
      </c>
      <c r="D295" t="inlineStr">
        <is>
          <t>DALARNAS LÄN</t>
        </is>
      </c>
      <c r="E295" t="inlineStr">
        <is>
          <t>HEDEMORA</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50040-2025</t>
        </is>
      </c>
      <c r="B296" s="1" t="n">
        <v>45943</v>
      </c>
      <c r="C296" s="1" t="n">
        <v>46202</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834-2026</t>
        </is>
      </c>
      <c r="B297" s="1" t="n">
        <v>46030</v>
      </c>
      <c r="C297" s="1" t="n">
        <v>46202</v>
      </c>
      <c r="D297" t="inlineStr">
        <is>
          <t>DALARNAS LÄN</t>
        </is>
      </c>
      <c r="E297" t="inlineStr">
        <is>
          <t>HEDEMORA</t>
        </is>
      </c>
      <c r="G297" t="n">
        <v>2.8</v>
      </c>
      <c r="H297" t="n">
        <v>0</v>
      </c>
      <c r="I297" t="n">
        <v>0</v>
      </c>
      <c r="J297" t="n">
        <v>0</v>
      </c>
      <c r="K297" t="n">
        <v>0</v>
      </c>
      <c r="L297" t="n">
        <v>0</v>
      </c>
      <c r="M297" t="n">
        <v>0</v>
      </c>
      <c r="N297" t="n">
        <v>0</v>
      </c>
      <c r="O297" t="n">
        <v>0</v>
      </c>
      <c r="P297" t="n">
        <v>0</v>
      </c>
      <c r="Q297" t="n">
        <v>0</v>
      </c>
      <c r="R297" s="2" t="inlineStr"/>
    </row>
    <row r="298" ht="15" customHeight="1">
      <c r="A298" t="inlineStr">
        <is>
          <t>A 1449-2026</t>
        </is>
      </c>
      <c r="B298" s="1" t="n">
        <v>46033</v>
      </c>
      <c r="C298" s="1" t="n">
        <v>46202</v>
      </c>
      <c r="D298" t="inlineStr">
        <is>
          <t>DALARNAS LÄN</t>
        </is>
      </c>
      <c r="E298" t="inlineStr">
        <is>
          <t>HEDEMORA</t>
        </is>
      </c>
      <c r="G298" t="n">
        <v>13.5</v>
      </c>
      <c r="H298" t="n">
        <v>0</v>
      </c>
      <c r="I298" t="n">
        <v>0</v>
      </c>
      <c r="J298" t="n">
        <v>0</v>
      </c>
      <c r="K298" t="n">
        <v>0</v>
      </c>
      <c r="L298" t="n">
        <v>0</v>
      </c>
      <c r="M298" t="n">
        <v>0</v>
      </c>
      <c r="N298" t="n">
        <v>0</v>
      </c>
      <c r="O298" t="n">
        <v>0</v>
      </c>
      <c r="P298" t="n">
        <v>0</v>
      </c>
      <c r="Q298" t="n">
        <v>0</v>
      </c>
      <c r="R298" s="2" t="inlineStr"/>
    </row>
    <row r="299" ht="15" customHeight="1">
      <c r="A299" t="inlineStr">
        <is>
          <t>A 53042-2025</t>
        </is>
      </c>
      <c r="B299" s="1" t="n">
        <v>45958</v>
      </c>
      <c r="C299" s="1" t="n">
        <v>46202</v>
      </c>
      <c r="D299" t="inlineStr">
        <is>
          <t>DALARNAS LÄN</t>
        </is>
      </c>
      <c r="E299" t="inlineStr">
        <is>
          <t>HEDEMORA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1885-2026</t>
        </is>
      </c>
      <c r="B300" s="1" t="n">
        <v>46035</v>
      </c>
      <c r="C300" s="1" t="n">
        <v>46202</v>
      </c>
      <c r="D300" t="inlineStr">
        <is>
          <t>DALARNAS LÄN</t>
        </is>
      </c>
      <c r="E300" t="inlineStr">
        <is>
          <t>HEDEMORA</t>
        </is>
      </c>
      <c r="G300" t="n">
        <v>2.5</v>
      </c>
      <c r="H300" t="n">
        <v>0</v>
      </c>
      <c r="I300" t="n">
        <v>0</v>
      </c>
      <c r="J300" t="n">
        <v>0</v>
      </c>
      <c r="K300" t="n">
        <v>0</v>
      </c>
      <c r="L300" t="n">
        <v>0</v>
      </c>
      <c r="M300" t="n">
        <v>0</v>
      </c>
      <c r="N300" t="n">
        <v>0</v>
      </c>
      <c r="O300" t="n">
        <v>0</v>
      </c>
      <c r="P300" t="n">
        <v>0</v>
      </c>
      <c r="Q300" t="n">
        <v>0</v>
      </c>
      <c r="R300" s="2" t="inlineStr"/>
    </row>
    <row r="301" ht="15" customHeight="1">
      <c r="A301" t="inlineStr">
        <is>
          <t>A 1451-2026</t>
        </is>
      </c>
      <c r="B301" s="1" t="n">
        <v>46033</v>
      </c>
      <c r="C301" s="1" t="n">
        <v>46202</v>
      </c>
      <c r="D301" t="inlineStr">
        <is>
          <t>DALARNAS LÄN</t>
        </is>
      </c>
      <c r="E301" t="inlineStr">
        <is>
          <t>HEDEMORA</t>
        </is>
      </c>
      <c r="G301" t="n">
        <v>7</v>
      </c>
      <c r="H301" t="n">
        <v>0</v>
      </c>
      <c r="I301" t="n">
        <v>0</v>
      </c>
      <c r="J301" t="n">
        <v>0</v>
      </c>
      <c r="K301" t="n">
        <v>0</v>
      </c>
      <c r="L301" t="n">
        <v>0</v>
      </c>
      <c r="M301" t="n">
        <v>0</v>
      </c>
      <c r="N301" t="n">
        <v>0</v>
      </c>
      <c r="O301" t="n">
        <v>0</v>
      </c>
      <c r="P301" t="n">
        <v>0</v>
      </c>
      <c r="Q301" t="n">
        <v>0</v>
      </c>
      <c r="R301" s="2" t="inlineStr"/>
    </row>
    <row r="302" ht="15" customHeight="1">
      <c r="A302" t="inlineStr">
        <is>
          <t>A 1573-2026</t>
        </is>
      </c>
      <c r="B302" s="1" t="n">
        <v>46034</v>
      </c>
      <c r="C302" s="1" t="n">
        <v>46202</v>
      </c>
      <c r="D302" t="inlineStr">
        <is>
          <t>DALARNAS LÄN</t>
        </is>
      </c>
      <c r="E302" t="inlineStr">
        <is>
          <t>HEDEMORA</t>
        </is>
      </c>
      <c r="G302" t="n">
        <v>0.7</v>
      </c>
      <c r="H302" t="n">
        <v>0</v>
      </c>
      <c r="I302" t="n">
        <v>0</v>
      </c>
      <c r="J302" t="n">
        <v>0</v>
      </c>
      <c r="K302" t="n">
        <v>0</v>
      </c>
      <c r="L302" t="n">
        <v>0</v>
      </c>
      <c r="M302" t="n">
        <v>0</v>
      </c>
      <c r="N302" t="n">
        <v>0</v>
      </c>
      <c r="O302" t="n">
        <v>0</v>
      </c>
      <c r="P302" t="n">
        <v>0</v>
      </c>
      <c r="Q302" t="n">
        <v>0</v>
      </c>
      <c r="R302" s="2" t="inlineStr"/>
    </row>
    <row r="303" ht="15" customHeight="1">
      <c r="A303" t="inlineStr">
        <is>
          <t>A 2159-2026</t>
        </is>
      </c>
      <c r="B303" s="1" t="n">
        <v>46036</v>
      </c>
      <c r="C303" s="1" t="n">
        <v>46202</v>
      </c>
      <c r="D303" t="inlineStr">
        <is>
          <t>DALARNAS LÄN</t>
        </is>
      </c>
      <c r="E303" t="inlineStr">
        <is>
          <t>HEDEMORA</t>
        </is>
      </c>
      <c r="F303" t="inlineStr">
        <is>
          <t>Kyrkan</t>
        </is>
      </c>
      <c r="G303" t="n">
        <v>3.8</v>
      </c>
      <c r="H303" t="n">
        <v>0</v>
      </c>
      <c r="I303" t="n">
        <v>0</v>
      </c>
      <c r="J303" t="n">
        <v>0</v>
      </c>
      <c r="K303" t="n">
        <v>0</v>
      </c>
      <c r="L303" t="n">
        <v>0</v>
      </c>
      <c r="M303" t="n">
        <v>0</v>
      </c>
      <c r="N303" t="n">
        <v>0</v>
      </c>
      <c r="O303" t="n">
        <v>0</v>
      </c>
      <c r="P303" t="n">
        <v>0</v>
      </c>
      <c r="Q303" t="n">
        <v>0</v>
      </c>
      <c r="R303" s="2" t="inlineStr"/>
    </row>
    <row r="304" ht="15" customHeight="1">
      <c r="A304" t="inlineStr">
        <is>
          <t>A 2599-2026</t>
        </is>
      </c>
      <c r="B304" s="1" t="n">
        <v>46037</v>
      </c>
      <c r="C304" s="1" t="n">
        <v>46202</v>
      </c>
      <c r="D304" t="inlineStr">
        <is>
          <t>DALARNAS LÄN</t>
        </is>
      </c>
      <c r="E304" t="inlineStr">
        <is>
          <t>HEDEMORA</t>
        </is>
      </c>
      <c r="G304" t="n">
        <v>6.5</v>
      </c>
      <c r="H304" t="n">
        <v>0</v>
      </c>
      <c r="I304" t="n">
        <v>0</v>
      </c>
      <c r="J304" t="n">
        <v>0</v>
      </c>
      <c r="K304" t="n">
        <v>0</v>
      </c>
      <c r="L304" t="n">
        <v>0</v>
      </c>
      <c r="M304" t="n">
        <v>0</v>
      </c>
      <c r="N304" t="n">
        <v>0</v>
      </c>
      <c r="O304" t="n">
        <v>0</v>
      </c>
      <c r="P304" t="n">
        <v>0</v>
      </c>
      <c r="Q304" t="n">
        <v>0</v>
      </c>
      <c r="R304" s="2" t="inlineStr"/>
    </row>
    <row r="305" ht="15" customHeight="1">
      <c r="A305" t="inlineStr">
        <is>
          <t>A 57563-2025</t>
        </is>
      </c>
      <c r="B305" s="1" t="n">
        <v>45980</v>
      </c>
      <c r="C305" s="1" t="n">
        <v>46202</v>
      </c>
      <c r="D305" t="inlineStr">
        <is>
          <t>DALARNAS LÄN</t>
        </is>
      </c>
      <c r="E305" t="inlineStr">
        <is>
          <t>HEDEMORA</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3759-2026</t>
        </is>
      </c>
      <c r="B306" s="1" t="n">
        <v>46043</v>
      </c>
      <c r="C306" s="1" t="n">
        <v>46202</v>
      </c>
      <c r="D306" t="inlineStr">
        <is>
          <t>DALARNAS LÄN</t>
        </is>
      </c>
      <c r="E306" t="inlineStr">
        <is>
          <t>HEDEMORA</t>
        </is>
      </c>
      <c r="G306" t="n">
        <v>6.6</v>
      </c>
      <c r="H306" t="n">
        <v>0</v>
      </c>
      <c r="I306" t="n">
        <v>0</v>
      </c>
      <c r="J306" t="n">
        <v>0</v>
      </c>
      <c r="K306" t="n">
        <v>0</v>
      </c>
      <c r="L306" t="n">
        <v>0</v>
      </c>
      <c r="M306" t="n">
        <v>0</v>
      </c>
      <c r="N306" t="n">
        <v>0</v>
      </c>
      <c r="O306" t="n">
        <v>0</v>
      </c>
      <c r="P306" t="n">
        <v>0</v>
      </c>
      <c r="Q306" t="n">
        <v>0</v>
      </c>
      <c r="R306" s="2" t="inlineStr"/>
    </row>
    <row r="307" ht="15" customHeight="1">
      <c r="A307" t="inlineStr">
        <is>
          <t>A 2056-2026</t>
        </is>
      </c>
      <c r="B307" s="1" t="n">
        <v>46032</v>
      </c>
      <c r="C307" s="1" t="n">
        <v>46202</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4089-2026</t>
        </is>
      </c>
      <c r="B308" s="1" t="n">
        <v>46044</v>
      </c>
      <c r="C308" s="1" t="n">
        <v>46202</v>
      </c>
      <c r="D308" t="inlineStr">
        <is>
          <t>DALARNAS LÄN</t>
        </is>
      </c>
      <c r="E308" t="inlineStr">
        <is>
          <t>HEDEMORA</t>
        </is>
      </c>
      <c r="G308" t="n">
        <v>1.6</v>
      </c>
      <c r="H308" t="n">
        <v>0</v>
      </c>
      <c r="I308" t="n">
        <v>0</v>
      </c>
      <c r="J308" t="n">
        <v>0</v>
      </c>
      <c r="K308" t="n">
        <v>0</v>
      </c>
      <c r="L308" t="n">
        <v>0</v>
      </c>
      <c r="M308" t="n">
        <v>0</v>
      </c>
      <c r="N308" t="n">
        <v>0</v>
      </c>
      <c r="O308" t="n">
        <v>0</v>
      </c>
      <c r="P308" t="n">
        <v>0</v>
      </c>
      <c r="Q308" t="n">
        <v>0</v>
      </c>
      <c r="R308" s="2" t="inlineStr"/>
    </row>
    <row r="309" ht="15" customHeight="1">
      <c r="A309" t="inlineStr">
        <is>
          <t>A 4070-2026</t>
        </is>
      </c>
      <c r="B309" s="1" t="n">
        <v>46044</v>
      </c>
      <c r="C309" s="1" t="n">
        <v>46202</v>
      </c>
      <c r="D309" t="inlineStr">
        <is>
          <t>DALARNAS LÄN</t>
        </is>
      </c>
      <c r="E309" t="inlineStr">
        <is>
          <t>HEDEMORA</t>
        </is>
      </c>
      <c r="G309" t="n">
        <v>29.2</v>
      </c>
      <c r="H309" t="n">
        <v>0</v>
      </c>
      <c r="I309" t="n">
        <v>0</v>
      </c>
      <c r="J309" t="n">
        <v>0</v>
      </c>
      <c r="K309" t="n">
        <v>0</v>
      </c>
      <c r="L309" t="n">
        <v>0</v>
      </c>
      <c r="M309" t="n">
        <v>0</v>
      </c>
      <c r="N309" t="n">
        <v>0</v>
      </c>
      <c r="O309" t="n">
        <v>0</v>
      </c>
      <c r="P309" t="n">
        <v>0</v>
      </c>
      <c r="Q309" t="n">
        <v>0</v>
      </c>
      <c r="R309" s="2" t="inlineStr"/>
    </row>
    <row r="310" ht="15" customHeight="1">
      <c r="A310" t="inlineStr">
        <is>
          <t>A 5617-2026</t>
        </is>
      </c>
      <c r="B310" s="1" t="n">
        <v>46051</v>
      </c>
      <c r="C310" s="1" t="n">
        <v>46202</v>
      </c>
      <c r="D310" t="inlineStr">
        <is>
          <t>DALARNAS LÄN</t>
        </is>
      </c>
      <c r="E310" t="inlineStr">
        <is>
          <t>HEDEMORA</t>
        </is>
      </c>
      <c r="G310" t="n">
        <v>4.3</v>
      </c>
      <c r="H310" t="n">
        <v>0</v>
      </c>
      <c r="I310" t="n">
        <v>0</v>
      </c>
      <c r="J310" t="n">
        <v>0</v>
      </c>
      <c r="K310" t="n">
        <v>0</v>
      </c>
      <c r="L310" t="n">
        <v>0</v>
      </c>
      <c r="M310" t="n">
        <v>0</v>
      </c>
      <c r="N310" t="n">
        <v>0</v>
      </c>
      <c r="O310" t="n">
        <v>0</v>
      </c>
      <c r="P310" t="n">
        <v>0</v>
      </c>
      <c r="Q310" t="n">
        <v>0</v>
      </c>
      <c r="R310" s="2" t="inlineStr"/>
    </row>
    <row r="311" ht="15" customHeight="1">
      <c r="A311" t="inlineStr">
        <is>
          <t>A 5784-2026</t>
        </is>
      </c>
      <c r="B311" s="1" t="n">
        <v>46051</v>
      </c>
      <c r="C311" s="1" t="n">
        <v>46202</v>
      </c>
      <c r="D311" t="inlineStr">
        <is>
          <t>DALARNAS LÄN</t>
        </is>
      </c>
      <c r="E311" t="inlineStr">
        <is>
          <t>HEDEMORA</t>
        </is>
      </c>
      <c r="G311" t="n">
        <v>3.6</v>
      </c>
      <c r="H311" t="n">
        <v>0</v>
      </c>
      <c r="I311" t="n">
        <v>0</v>
      </c>
      <c r="J311" t="n">
        <v>0</v>
      </c>
      <c r="K311" t="n">
        <v>0</v>
      </c>
      <c r="L311" t="n">
        <v>0</v>
      </c>
      <c r="M311" t="n">
        <v>0</v>
      </c>
      <c r="N311" t="n">
        <v>0</v>
      </c>
      <c r="O311" t="n">
        <v>0</v>
      </c>
      <c r="P311" t="n">
        <v>0</v>
      </c>
      <c r="Q311" t="n">
        <v>0</v>
      </c>
      <c r="R311" s="2" t="inlineStr"/>
    </row>
    <row r="312" ht="15" customHeight="1">
      <c r="A312" t="inlineStr">
        <is>
          <t>A 5316-2026</t>
        </is>
      </c>
      <c r="B312" s="1" t="n">
        <v>46050</v>
      </c>
      <c r="C312" s="1" t="n">
        <v>46202</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5619-2026</t>
        </is>
      </c>
      <c r="B313" s="1" t="n">
        <v>46051</v>
      </c>
      <c r="C313" s="1" t="n">
        <v>46202</v>
      </c>
      <c r="D313" t="inlineStr">
        <is>
          <t>DALARNAS LÄN</t>
        </is>
      </c>
      <c r="E313" t="inlineStr">
        <is>
          <t>HEDEMORA</t>
        </is>
      </c>
      <c r="G313" t="n">
        <v>8</v>
      </c>
      <c r="H313" t="n">
        <v>0</v>
      </c>
      <c r="I313" t="n">
        <v>0</v>
      </c>
      <c r="J313" t="n">
        <v>0</v>
      </c>
      <c r="K313" t="n">
        <v>0</v>
      </c>
      <c r="L313" t="n">
        <v>0</v>
      </c>
      <c r="M313" t="n">
        <v>0</v>
      </c>
      <c r="N313" t="n">
        <v>0</v>
      </c>
      <c r="O313" t="n">
        <v>0</v>
      </c>
      <c r="P313" t="n">
        <v>0</v>
      </c>
      <c r="Q313" t="n">
        <v>0</v>
      </c>
      <c r="R313" s="2" t="inlineStr"/>
    </row>
    <row r="314" ht="15" customHeight="1">
      <c r="A314" t="inlineStr">
        <is>
          <t>A 57745-2024</t>
        </is>
      </c>
      <c r="B314" s="1" t="n">
        <v>45630</v>
      </c>
      <c r="C314" s="1" t="n">
        <v>46202</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58841-2023</t>
        </is>
      </c>
      <c r="B315" s="1" t="n">
        <v>45252</v>
      </c>
      <c r="C315" s="1" t="n">
        <v>46202</v>
      </c>
      <c r="D315" t="inlineStr">
        <is>
          <t>DALARNAS LÄN</t>
        </is>
      </c>
      <c r="E315" t="inlineStr">
        <is>
          <t>HEDEMORA</t>
        </is>
      </c>
      <c r="G315" t="n">
        <v>14.8</v>
      </c>
      <c r="H315" t="n">
        <v>0</v>
      </c>
      <c r="I315" t="n">
        <v>0</v>
      </c>
      <c r="J315" t="n">
        <v>0</v>
      </c>
      <c r="K315" t="n">
        <v>0</v>
      </c>
      <c r="L315" t="n">
        <v>0</v>
      </c>
      <c r="M315" t="n">
        <v>0</v>
      </c>
      <c r="N315" t="n">
        <v>0</v>
      </c>
      <c r="O315" t="n">
        <v>0</v>
      </c>
      <c r="P315" t="n">
        <v>0</v>
      </c>
      <c r="Q315" t="n">
        <v>0</v>
      </c>
      <c r="R315" s="2" t="inlineStr"/>
    </row>
    <row r="316" ht="15" customHeight="1">
      <c r="A316" t="inlineStr">
        <is>
          <t>A 7165-2026</t>
        </is>
      </c>
      <c r="B316" s="1" t="n">
        <v>46058</v>
      </c>
      <c r="C316" s="1" t="n">
        <v>46202</v>
      </c>
      <c r="D316" t="inlineStr">
        <is>
          <t>DALARNAS LÄN</t>
        </is>
      </c>
      <c r="E316" t="inlineStr">
        <is>
          <t>HEDEMORA</t>
        </is>
      </c>
      <c r="G316" t="n">
        <v>4.9</v>
      </c>
      <c r="H316" t="n">
        <v>0</v>
      </c>
      <c r="I316" t="n">
        <v>0</v>
      </c>
      <c r="J316" t="n">
        <v>0</v>
      </c>
      <c r="K316" t="n">
        <v>0</v>
      </c>
      <c r="L316" t="n">
        <v>0</v>
      </c>
      <c r="M316" t="n">
        <v>0</v>
      </c>
      <c r="N316" t="n">
        <v>0</v>
      </c>
      <c r="O316" t="n">
        <v>0</v>
      </c>
      <c r="P316" t="n">
        <v>0</v>
      </c>
      <c r="Q316" t="n">
        <v>0</v>
      </c>
      <c r="R316" s="2" t="inlineStr"/>
    </row>
    <row r="317" ht="15" customHeight="1">
      <c r="A317" t="inlineStr">
        <is>
          <t>A 60786-2023</t>
        </is>
      </c>
      <c r="B317" s="1" t="n">
        <v>45260</v>
      </c>
      <c r="C317" s="1" t="n">
        <v>46202</v>
      </c>
      <c r="D317" t="inlineStr">
        <is>
          <t>DALARNAS LÄN</t>
        </is>
      </c>
      <c r="E317" t="inlineStr">
        <is>
          <t>HEDEMORA</t>
        </is>
      </c>
      <c r="G317" t="n">
        <v>7.1</v>
      </c>
      <c r="H317" t="n">
        <v>0</v>
      </c>
      <c r="I317" t="n">
        <v>0</v>
      </c>
      <c r="J317" t="n">
        <v>0</v>
      </c>
      <c r="K317" t="n">
        <v>0</v>
      </c>
      <c r="L317" t="n">
        <v>0</v>
      </c>
      <c r="M317" t="n">
        <v>0</v>
      </c>
      <c r="N317" t="n">
        <v>0</v>
      </c>
      <c r="O317" t="n">
        <v>0</v>
      </c>
      <c r="P317" t="n">
        <v>0</v>
      </c>
      <c r="Q317" t="n">
        <v>0</v>
      </c>
      <c r="R317" s="2" t="inlineStr"/>
    </row>
    <row r="318" ht="15" customHeight="1">
      <c r="A318" t="inlineStr">
        <is>
          <t>A 7743-2026</t>
        </is>
      </c>
      <c r="B318" s="1" t="n">
        <v>46062</v>
      </c>
      <c r="C318" s="1" t="n">
        <v>46202</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4809-2026</t>
        </is>
      </c>
      <c r="B319" s="1" t="n">
        <v>46048</v>
      </c>
      <c r="C319" s="1" t="n">
        <v>46202</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8613-2026</t>
        </is>
      </c>
      <c r="B320" s="1" t="n">
        <v>46065</v>
      </c>
      <c r="C320" s="1" t="n">
        <v>46202</v>
      </c>
      <c r="D320" t="inlineStr">
        <is>
          <t>DALARNAS LÄN</t>
        </is>
      </c>
      <c r="E320" t="inlineStr">
        <is>
          <t>HEDEMORA</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46202</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9672-2026</t>
        </is>
      </c>
      <c r="B322" s="1" t="n">
        <v>46072</v>
      </c>
      <c r="C322" s="1" t="n">
        <v>46202</v>
      </c>
      <c r="D322" t="inlineStr">
        <is>
          <t>DALARNAS LÄN</t>
        </is>
      </c>
      <c r="E322" t="inlineStr">
        <is>
          <t>HEDEMORA</t>
        </is>
      </c>
      <c r="G322" t="n">
        <v>1.6</v>
      </c>
      <c r="H322" t="n">
        <v>0</v>
      </c>
      <c r="I322" t="n">
        <v>0</v>
      </c>
      <c r="J322" t="n">
        <v>0</v>
      </c>
      <c r="K322" t="n">
        <v>0</v>
      </c>
      <c r="L322" t="n">
        <v>0</v>
      </c>
      <c r="M322" t="n">
        <v>0</v>
      </c>
      <c r="N322" t="n">
        <v>0</v>
      </c>
      <c r="O322" t="n">
        <v>0</v>
      </c>
      <c r="P322" t="n">
        <v>0</v>
      </c>
      <c r="Q322" t="n">
        <v>0</v>
      </c>
      <c r="R322" s="2" t="inlineStr"/>
    </row>
    <row r="323" ht="15" customHeight="1">
      <c r="A323" t="inlineStr">
        <is>
          <t>A 9680-2026</t>
        </is>
      </c>
      <c r="B323" s="1" t="n">
        <v>46072</v>
      </c>
      <c r="C323" s="1" t="n">
        <v>46202</v>
      </c>
      <c r="D323" t="inlineStr">
        <is>
          <t>DALARNAS LÄN</t>
        </is>
      </c>
      <c r="E323" t="inlineStr">
        <is>
          <t>HEDEMORA</t>
        </is>
      </c>
      <c r="G323" t="n">
        <v>4.2</v>
      </c>
      <c r="H323" t="n">
        <v>0</v>
      </c>
      <c r="I323" t="n">
        <v>0</v>
      </c>
      <c r="J323" t="n">
        <v>0</v>
      </c>
      <c r="K323" t="n">
        <v>0</v>
      </c>
      <c r="L323" t="n">
        <v>0</v>
      </c>
      <c r="M323" t="n">
        <v>0</v>
      </c>
      <c r="N323" t="n">
        <v>0</v>
      </c>
      <c r="O323" t="n">
        <v>0</v>
      </c>
      <c r="P323" t="n">
        <v>0</v>
      </c>
      <c r="Q323" t="n">
        <v>0</v>
      </c>
      <c r="R323" s="2" t="inlineStr"/>
    </row>
    <row r="324" ht="15" customHeight="1">
      <c r="A324" t="inlineStr">
        <is>
          <t>A 9674-2026</t>
        </is>
      </c>
      <c r="B324" s="1" t="n">
        <v>46072</v>
      </c>
      <c r="C324" s="1" t="n">
        <v>46202</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59295-2025</t>
        </is>
      </c>
      <c r="B325" s="1" t="n">
        <v>45988</v>
      </c>
      <c r="C325" s="1" t="n">
        <v>46202</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59350-2025</t>
        </is>
      </c>
      <c r="B326" s="1" t="n">
        <v>45989</v>
      </c>
      <c r="C326" s="1" t="n">
        <v>46202</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60445-2025</t>
        </is>
      </c>
      <c r="B327" s="1" t="n">
        <v>45995</v>
      </c>
      <c r="C327" s="1" t="n">
        <v>46202</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11732-2026</t>
        </is>
      </c>
      <c r="B328" s="1" t="n">
        <v>46084</v>
      </c>
      <c r="C328" s="1" t="n">
        <v>46202</v>
      </c>
      <c r="D328" t="inlineStr">
        <is>
          <t>DALARNAS LÄN</t>
        </is>
      </c>
      <c r="E328" t="inlineStr">
        <is>
          <t>HEDEMORA</t>
        </is>
      </c>
      <c r="G328" t="n">
        <v>6.2</v>
      </c>
      <c r="H328" t="n">
        <v>0</v>
      </c>
      <c r="I328" t="n">
        <v>0</v>
      </c>
      <c r="J328" t="n">
        <v>0</v>
      </c>
      <c r="K328" t="n">
        <v>0</v>
      </c>
      <c r="L328" t="n">
        <v>0</v>
      </c>
      <c r="M328" t="n">
        <v>0</v>
      </c>
      <c r="N328" t="n">
        <v>0</v>
      </c>
      <c r="O328" t="n">
        <v>0</v>
      </c>
      <c r="P328" t="n">
        <v>0</v>
      </c>
      <c r="Q328" t="n">
        <v>0</v>
      </c>
      <c r="R328" s="2" t="inlineStr"/>
    </row>
    <row r="329" ht="15" customHeight="1">
      <c r="A329" t="inlineStr">
        <is>
          <t>A 12604-2026</t>
        </is>
      </c>
      <c r="B329" s="1" t="n">
        <v>46090</v>
      </c>
      <c r="C329" s="1" t="n">
        <v>46202</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12687-2026</t>
        </is>
      </c>
      <c r="B330" s="1" t="n">
        <v>46091</v>
      </c>
      <c r="C330" s="1" t="n">
        <v>46202</v>
      </c>
      <c r="D330" t="inlineStr">
        <is>
          <t>DALARNAS LÄN</t>
        </is>
      </c>
      <c r="E330" t="inlineStr">
        <is>
          <t>HEDEMORA</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13336-2026</t>
        </is>
      </c>
      <c r="B331" s="1" t="n">
        <v>46094</v>
      </c>
      <c r="C331" s="1" t="n">
        <v>46202</v>
      </c>
      <c r="D331" t="inlineStr">
        <is>
          <t>DALARNAS LÄN</t>
        </is>
      </c>
      <c r="E331" t="inlineStr">
        <is>
          <t>HEDEMORA</t>
        </is>
      </c>
      <c r="G331" t="n">
        <v>17.5</v>
      </c>
      <c r="H331" t="n">
        <v>0</v>
      </c>
      <c r="I331" t="n">
        <v>0</v>
      </c>
      <c r="J331" t="n">
        <v>0</v>
      </c>
      <c r="K331" t="n">
        <v>0</v>
      </c>
      <c r="L331" t="n">
        <v>0</v>
      </c>
      <c r="M331" t="n">
        <v>0</v>
      </c>
      <c r="N331" t="n">
        <v>0</v>
      </c>
      <c r="O331" t="n">
        <v>0</v>
      </c>
      <c r="P331" t="n">
        <v>0</v>
      </c>
      <c r="Q331" t="n">
        <v>0</v>
      </c>
      <c r="R331" s="2" t="inlineStr"/>
    </row>
    <row r="332" ht="15" customHeight="1">
      <c r="A332" t="inlineStr">
        <is>
          <t>A 13937-2026</t>
        </is>
      </c>
      <c r="B332" s="1" t="n">
        <v>46098</v>
      </c>
      <c r="C332" s="1" t="n">
        <v>46202</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13847-2026</t>
        </is>
      </c>
      <c r="B333" s="1" t="n">
        <v>46098</v>
      </c>
      <c r="C333" s="1" t="n">
        <v>46202</v>
      </c>
      <c r="D333" t="inlineStr">
        <is>
          <t>DALARNAS LÄN</t>
        </is>
      </c>
      <c r="E333" t="inlineStr">
        <is>
          <t>HEDEMORA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13840-2026</t>
        </is>
      </c>
      <c r="B334" s="1" t="n">
        <v>46098</v>
      </c>
      <c r="C334" s="1" t="n">
        <v>46202</v>
      </c>
      <c r="D334" t="inlineStr">
        <is>
          <t>DALARNAS LÄN</t>
        </is>
      </c>
      <c r="E334" t="inlineStr">
        <is>
          <t>HEDEMORA</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13913-2026</t>
        </is>
      </c>
      <c r="B335" s="1" t="n">
        <v>46098</v>
      </c>
      <c r="C335" s="1" t="n">
        <v>46202</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13916-2026</t>
        </is>
      </c>
      <c r="B336" s="1" t="n">
        <v>46098</v>
      </c>
      <c r="C336" s="1" t="n">
        <v>46202</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14228-2026</t>
        </is>
      </c>
      <c r="B337" s="1" t="n">
        <v>46099</v>
      </c>
      <c r="C337" s="1" t="n">
        <v>46202</v>
      </c>
      <c r="D337" t="inlineStr">
        <is>
          <t>DALARNAS LÄN</t>
        </is>
      </c>
      <c r="E337" t="inlineStr">
        <is>
          <t>HEDEMORA</t>
        </is>
      </c>
      <c r="G337" t="n">
        <v>3.8</v>
      </c>
      <c r="H337" t="n">
        <v>0</v>
      </c>
      <c r="I337" t="n">
        <v>0</v>
      </c>
      <c r="J337" t="n">
        <v>0</v>
      </c>
      <c r="K337" t="n">
        <v>0</v>
      </c>
      <c r="L337" t="n">
        <v>0</v>
      </c>
      <c r="M337" t="n">
        <v>0</v>
      </c>
      <c r="N337" t="n">
        <v>0</v>
      </c>
      <c r="O337" t="n">
        <v>0</v>
      </c>
      <c r="P337" t="n">
        <v>0</v>
      </c>
      <c r="Q337" t="n">
        <v>0</v>
      </c>
      <c r="R337" s="2" t="inlineStr"/>
    </row>
    <row r="338" ht="15" customHeight="1">
      <c r="A338" t="inlineStr">
        <is>
          <t>A 14239-2026</t>
        </is>
      </c>
      <c r="B338" s="1" t="n">
        <v>46099</v>
      </c>
      <c r="C338" s="1" t="n">
        <v>46202</v>
      </c>
      <c r="D338" t="inlineStr">
        <is>
          <t>DALARNAS LÄN</t>
        </is>
      </c>
      <c r="E338" t="inlineStr">
        <is>
          <t>HEDEMORA</t>
        </is>
      </c>
      <c r="G338" t="n">
        <v>4.4</v>
      </c>
      <c r="H338" t="n">
        <v>0</v>
      </c>
      <c r="I338" t="n">
        <v>0</v>
      </c>
      <c r="J338" t="n">
        <v>0</v>
      </c>
      <c r="K338" t="n">
        <v>0</v>
      </c>
      <c r="L338" t="n">
        <v>0</v>
      </c>
      <c r="M338" t="n">
        <v>0</v>
      </c>
      <c r="N338" t="n">
        <v>0</v>
      </c>
      <c r="O338" t="n">
        <v>0</v>
      </c>
      <c r="P338" t="n">
        <v>0</v>
      </c>
      <c r="Q338" t="n">
        <v>0</v>
      </c>
      <c r="R338" s="2" t="inlineStr"/>
    </row>
    <row r="339" ht="15" customHeight="1">
      <c r="A339" t="inlineStr">
        <is>
          <t>A 14197-2026</t>
        </is>
      </c>
      <c r="B339" s="1" t="n">
        <v>46099</v>
      </c>
      <c r="C339" s="1" t="n">
        <v>46202</v>
      </c>
      <c r="D339" t="inlineStr">
        <is>
          <t>DALARNAS LÄN</t>
        </is>
      </c>
      <c r="E339" t="inlineStr">
        <is>
          <t>HEDEMORA</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15649-2026</t>
        </is>
      </c>
      <c r="B340" s="1" t="n">
        <v>46106</v>
      </c>
      <c r="C340" s="1" t="n">
        <v>46202</v>
      </c>
      <c r="D340" t="inlineStr">
        <is>
          <t>DALARNAS LÄN</t>
        </is>
      </c>
      <c r="E340" t="inlineStr">
        <is>
          <t>HEDEMORA</t>
        </is>
      </c>
      <c r="F340" t="inlineStr">
        <is>
          <t>Sveaskog</t>
        </is>
      </c>
      <c r="G340" t="n">
        <v>10.4</v>
      </c>
      <c r="H340" t="n">
        <v>0</v>
      </c>
      <c r="I340" t="n">
        <v>0</v>
      </c>
      <c r="J340" t="n">
        <v>0</v>
      </c>
      <c r="K340" t="n">
        <v>0</v>
      </c>
      <c r="L340" t="n">
        <v>0</v>
      </c>
      <c r="M340" t="n">
        <v>0</v>
      </c>
      <c r="N340" t="n">
        <v>0</v>
      </c>
      <c r="O340" t="n">
        <v>0</v>
      </c>
      <c r="P340" t="n">
        <v>0</v>
      </c>
      <c r="Q340" t="n">
        <v>0</v>
      </c>
      <c r="R340" s="2" t="inlineStr"/>
    </row>
    <row r="341" ht="15" customHeight="1">
      <c r="A341" t="inlineStr">
        <is>
          <t>A 15145-2026</t>
        </is>
      </c>
      <c r="B341" s="1" t="n">
        <v>46105</v>
      </c>
      <c r="C341" s="1" t="n">
        <v>46202</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15146-2026</t>
        </is>
      </c>
      <c r="B342" s="1" t="n">
        <v>46105</v>
      </c>
      <c r="C342" s="1" t="n">
        <v>46202</v>
      </c>
      <c r="D342" t="inlineStr">
        <is>
          <t>DALARNAS LÄN</t>
        </is>
      </c>
      <c r="E342" t="inlineStr">
        <is>
          <t>HEDEMORA</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15232-2026</t>
        </is>
      </c>
      <c r="B343" s="1" t="n">
        <v>46105</v>
      </c>
      <c r="C343" s="1" t="n">
        <v>46202</v>
      </c>
      <c r="D343" t="inlineStr">
        <is>
          <t>DALARNAS LÄN</t>
        </is>
      </c>
      <c r="E343" t="inlineStr">
        <is>
          <t>HEDEMORA</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16268-2026</t>
        </is>
      </c>
      <c r="B344" s="1" t="n">
        <v>46108</v>
      </c>
      <c r="C344" s="1" t="n">
        <v>46202</v>
      </c>
      <c r="D344" t="inlineStr">
        <is>
          <t>DALARNAS LÄN</t>
        </is>
      </c>
      <c r="E344" t="inlineStr">
        <is>
          <t>HEDEMORA</t>
        </is>
      </c>
      <c r="G344" t="n">
        <v>1</v>
      </c>
      <c r="H344" t="n">
        <v>0</v>
      </c>
      <c r="I344" t="n">
        <v>0</v>
      </c>
      <c r="J344" t="n">
        <v>0</v>
      </c>
      <c r="K344" t="n">
        <v>0</v>
      </c>
      <c r="L344" t="n">
        <v>0</v>
      </c>
      <c r="M344" t="n">
        <v>0</v>
      </c>
      <c r="N344" t="n">
        <v>0</v>
      </c>
      <c r="O344" t="n">
        <v>0</v>
      </c>
      <c r="P344" t="n">
        <v>0</v>
      </c>
      <c r="Q344" t="n">
        <v>0</v>
      </c>
      <c r="R344" s="2" t="inlineStr"/>
    </row>
    <row r="345" ht="15" customHeight="1">
      <c r="A345" t="inlineStr">
        <is>
          <t>A 16260-2026</t>
        </is>
      </c>
      <c r="B345" s="1" t="n">
        <v>46108</v>
      </c>
      <c r="C345" s="1" t="n">
        <v>46202</v>
      </c>
      <c r="D345" t="inlineStr">
        <is>
          <t>DALARNAS LÄN</t>
        </is>
      </c>
      <c r="E345" t="inlineStr">
        <is>
          <t>HEDEMORA</t>
        </is>
      </c>
      <c r="G345" t="n">
        <v>0.8</v>
      </c>
      <c r="H345" t="n">
        <v>0</v>
      </c>
      <c r="I345" t="n">
        <v>0</v>
      </c>
      <c r="J345" t="n">
        <v>0</v>
      </c>
      <c r="K345" t="n">
        <v>0</v>
      </c>
      <c r="L345" t="n">
        <v>0</v>
      </c>
      <c r="M345" t="n">
        <v>0</v>
      </c>
      <c r="N345" t="n">
        <v>0</v>
      </c>
      <c r="O345" t="n">
        <v>0</v>
      </c>
      <c r="P345" t="n">
        <v>0</v>
      </c>
      <c r="Q345" t="n">
        <v>0</v>
      </c>
      <c r="R345" s="2" t="inlineStr"/>
    </row>
    <row r="346" ht="15" customHeight="1">
      <c r="A346" t="inlineStr">
        <is>
          <t>A 16279-2026</t>
        </is>
      </c>
      <c r="B346" s="1" t="n">
        <v>46111</v>
      </c>
      <c r="C346" s="1" t="n">
        <v>46202</v>
      </c>
      <c r="D346" t="inlineStr">
        <is>
          <t>DALARNAS LÄN</t>
        </is>
      </c>
      <c r="E346" t="inlineStr">
        <is>
          <t>HEDEMORA</t>
        </is>
      </c>
      <c r="G346" t="n">
        <v>7.6</v>
      </c>
      <c r="H346" t="n">
        <v>0</v>
      </c>
      <c r="I346" t="n">
        <v>0</v>
      </c>
      <c r="J346" t="n">
        <v>0</v>
      </c>
      <c r="K346" t="n">
        <v>0</v>
      </c>
      <c r="L346" t="n">
        <v>0</v>
      </c>
      <c r="M346" t="n">
        <v>0</v>
      </c>
      <c r="N346" t="n">
        <v>0</v>
      </c>
      <c r="O346" t="n">
        <v>0</v>
      </c>
      <c r="P346" t="n">
        <v>0</v>
      </c>
      <c r="Q346" t="n">
        <v>0</v>
      </c>
      <c r="R346" s="2" t="inlineStr"/>
    </row>
    <row r="347" ht="15" customHeight="1">
      <c r="A347" t="inlineStr">
        <is>
          <t>A 16282-2026</t>
        </is>
      </c>
      <c r="B347" s="1" t="n">
        <v>46111</v>
      </c>
      <c r="C347" s="1" t="n">
        <v>46202</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ht="15" customHeight="1">
      <c r="A348" t="inlineStr">
        <is>
          <t>A 23194-2026</t>
        </is>
      </c>
      <c r="B348" s="1" t="n">
        <v>46161</v>
      </c>
      <c r="C348" s="1" t="n">
        <v>46202</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row r="349" ht="15" customHeight="1">
      <c r="A349" t="inlineStr">
        <is>
          <t>A 17206-2026</t>
        </is>
      </c>
      <c r="B349" s="1" t="n">
        <v>46119</v>
      </c>
      <c r="C349" s="1" t="n">
        <v>46202</v>
      </c>
      <c r="D349" t="inlineStr">
        <is>
          <t>DALARNAS LÄN</t>
        </is>
      </c>
      <c r="E349" t="inlineStr">
        <is>
          <t>HEDEMORA</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17884-2026</t>
        </is>
      </c>
      <c r="B350" s="1" t="n">
        <v>46122</v>
      </c>
      <c r="C350" s="1" t="n">
        <v>46202</v>
      </c>
      <c r="D350" t="inlineStr">
        <is>
          <t>DALARNAS LÄN</t>
        </is>
      </c>
      <c r="E350" t="inlineStr">
        <is>
          <t>HEDEMORA</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23639-2026</t>
        </is>
      </c>
      <c r="B351" s="1" t="n">
        <v>46164</v>
      </c>
      <c r="C351" s="1" t="n">
        <v>46202</v>
      </c>
      <c r="D351" t="inlineStr">
        <is>
          <t>DALARNAS LÄN</t>
        </is>
      </c>
      <c r="E351" t="inlineStr">
        <is>
          <t>HEDEMORA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17978-2026</t>
        </is>
      </c>
      <c r="B352" s="1" t="n">
        <v>46124</v>
      </c>
      <c r="C352" s="1" t="n">
        <v>46202</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18015-2026</t>
        </is>
      </c>
      <c r="B353" s="1" t="n">
        <v>46125</v>
      </c>
      <c r="C353" s="1" t="n">
        <v>46202</v>
      </c>
      <c r="D353" t="inlineStr">
        <is>
          <t>DALARNAS LÄN</t>
        </is>
      </c>
      <c r="E353" t="inlineStr">
        <is>
          <t>HEDEMORA</t>
        </is>
      </c>
      <c r="G353" t="n">
        <v>0.3</v>
      </c>
      <c r="H353" t="n">
        <v>0</v>
      </c>
      <c r="I353" t="n">
        <v>0</v>
      </c>
      <c r="J353" t="n">
        <v>0</v>
      </c>
      <c r="K353" t="n">
        <v>0</v>
      </c>
      <c r="L353" t="n">
        <v>0</v>
      </c>
      <c r="M353" t="n">
        <v>0</v>
      </c>
      <c r="N353" t="n">
        <v>0</v>
      </c>
      <c r="O353" t="n">
        <v>0</v>
      </c>
      <c r="P353" t="n">
        <v>0</v>
      </c>
      <c r="Q353" t="n">
        <v>0</v>
      </c>
      <c r="R353" s="2" t="inlineStr"/>
    </row>
    <row r="354" ht="15" customHeight="1">
      <c r="A354" t="inlineStr">
        <is>
          <t>A 23998-2026</t>
        </is>
      </c>
      <c r="B354" s="1" t="n">
        <v>46167</v>
      </c>
      <c r="C354" s="1" t="n">
        <v>46202</v>
      </c>
      <c r="D354" t="inlineStr">
        <is>
          <t>DALARNAS LÄN</t>
        </is>
      </c>
      <c r="E354" t="inlineStr">
        <is>
          <t>HEDEMORA</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23843-2026</t>
        </is>
      </c>
      <c r="B355" s="1" t="n">
        <v>46167</v>
      </c>
      <c r="C355" s="1" t="n">
        <v>46202</v>
      </c>
      <c r="D355" t="inlineStr">
        <is>
          <t>DALARNAS LÄN</t>
        </is>
      </c>
      <c r="E355" t="inlineStr">
        <is>
          <t>HEDEMORA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18017-2026</t>
        </is>
      </c>
      <c r="B356" s="1" t="n">
        <v>46125</v>
      </c>
      <c r="C356" s="1" t="n">
        <v>46202</v>
      </c>
      <c r="D356" t="inlineStr">
        <is>
          <t>DALARNAS LÄN</t>
        </is>
      </c>
      <c r="E356" t="inlineStr">
        <is>
          <t>HEDEMORA</t>
        </is>
      </c>
      <c r="G356" t="n">
        <v>0.2</v>
      </c>
      <c r="H356" t="n">
        <v>0</v>
      </c>
      <c r="I356" t="n">
        <v>0</v>
      </c>
      <c r="J356" t="n">
        <v>0</v>
      </c>
      <c r="K356" t="n">
        <v>0</v>
      </c>
      <c r="L356" t="n">
        <v>0</v>
      </c>
      <c r="M356" t="n">
        <v>0</v>
      </c>
      <c r="N356" t="n">
        <v>0</v>
      </c>
      <c r="O356" t="n">
        <v>0</v>
      </c>
      <c r="P356" t="n">
        <v>0</v>
      </c>
      <c r="Q356" t="n">
        <v>0</v>
      </c>
      <c r="R356" s="2" t="inlineStr"/>
    </row>
    <row r="357" ht="15" customHeight="1">
      <c r="A357" t="inlineStr">
        <is>
          <t>A 18665-2026</t>
        </is>
      </c>
      <c r="B357" s="1" t="n">
        <v>46128</v>
      </c>
      <c r="C357" s="1" t="n">
        <v>46202</v>
      </c>
      <c r="D357" t="inlineStr">
        <is>
          <t>DALARNAS LÄN</t>
        </is>
      </c>
      <c r="E357" t="inlineStr">
        <is>
          <t>HEDEMORA</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24339-2026</t>
        </is>
      </c>
      <c r="B358" s="1" t="n">
        <v>46169</v>
      </c>
      <c r="C358" s="1" t="n">
        <v>46202</v>
      </c>
      <c r="D358" t="inlineStr">
        <is>
          <t>DALARNAS LÄN</t>
        </is>
      </c>
      <c r="E358" t="inlineStr">
        <is>
          <t>HEDEMORA</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23466-2026</t>
        </is>
      </c>
      <c r="B359" s="1" t="n">
        <v>46163</v>
      </c>
      <c r="C359" s="1" t="n">
        <v>46202</v>
      </c>
      <c r="D359" t="inlineStr">
        <is>
          <t>DALARNAS LÄN</t>
        </is>
      </c>
      <c r="E359" t="inlineStr">
        <is>
          <t>HEDEMORA</t>
        </is>
      </c>
      <c r="G359" t="n">
        <v>0.6</v>
      </c>
      <c r="H359" t="n">
        <v>0</v>
      </c>
      <c r="I359" t="n">
        <v>0</v>
      </c>
      <c r="J359" t="n">
        <v>0</v>
      </c>
      <c r="K359" t="n">
        <v>0</v>
      </c>
      <c r="L359" t="n">
        <v>0</v>
      </c>
      <c r="M359" t="n">
        <v>0</v>
      </c>
      <c r="N359" t="n">
        <v>0</v>
      </c>
      <c r="O359" t="n">
        <v>0</v>
      </c>
      <c r="P359" t="n">
        <v>0</v>
      </c>
      <c r="Q359" t="n">
        <v>0</v>
      </c>
      <c r="R359" s="2" t="inlineStr"/>
    </row>
    <row r="360" ht="15" customHeight="1">
      <c r="A360" t="inlineStr">
        <is>
          <t>A 18920-2026</t>
        </is>
      </c>
      <c r="B360" s="1" t="n">
        <v>46129</v>
      </c>
      <c r="C360" s="1" t="n">
        <v>46202</v>
      </c>
      <c r="D360" t="inlineStr">
        <is>
          <t>DALARNAS LÄN</t>
        </is>
      </c>
      <c r="E360" t="inlineStr">
        <is>
          <t>HEDEMORA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18654-2026</t>
        </is>
      </c>
      <c r="B361" s="1" t="n">
        <v>46128</v>
      </c>
      <c r="C361" s="1" t="n">
        <v>46202</v>
      </c>
      <c r="D361" t="inlineStr">
        <is>
          <t>DALARNAS LÄN</t>
        </is>
      </c>
      <c r="E361" t="inlineStr">
        <is>
          <t>HEDEMORA</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18661-2026</t>
        </is>
      </c>
      <c r="B362" s="1" t="n">
        <v>46128</v>
      </c>
      <c r="C362" s="1" t="n">
        <v>46202</v>
      </c>
      <c r="D362" t="inlineStr">
        <is>
          <t>DALARNAS LÄN</t>
        </is>
      </c>
      <c r="E362" t="inlineStr">
        <is>
          <t>HEDEMORA</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24340-2026</t>
        </is>
      </c>
      <c r="B363" s="1" t="n">
        <v>46169</v>
      </c>
      <c r="C363" s="1" t="n">
        <v>46202</v>
      </c>
      <c r="D363" t="inlineStr">
        <is>
          <t>DALARNAS LÄN</t>
        </is>
      </c>
      <c r="E363" t="inlineStr">
        <is>
          <t>HEDEMORA</t>
        </is>
      </c>
      <c r="F363" t="inlineStr">
        <is>
          <t>Sveaskog</t>
        </is>
      </c>
      <c r="G363" t="n">
        <v>8.5</v>
      </c>
      <c r="H363" t="n">
        <v>0</v>
      </c>
      <c r="I363" t="n">
        <v>0</v>
      </c>
      <c r="J363" t="n">
        <v>0</v>
      </c>
      <c r="K363" t="n">
        <v>0</v>
      </c>
      <c r="L363" t="n">
        <v>0</v>
      </c>
      <c r="M363" t="n">
        <v>0</v>
      </c>
      <c r="N363" t="n">
        <v>0</v>
      </c>
      <c r="O363" t="n">
        <v>0</v>
      </c>
      <c r="P363" t="n">
        <v>0</v>
      </c>
      <c r="Q363" t="n">
        <v>0</v>
      </c>
      <c r="R363" s="2" t="inlineStr"/>
    </row>
    <row r="364" ht="15" customHeight="1">
      <c r="A364" t="inlineStr">
        <is>
          <t>A 24949-2026</t>
        </is>
      </c>
      <c r="B364" s="1" t="n">
        <v>46174</v>
      </c>
      <c r="C364" s="1" t="n">
        <v>46202</v>
      </c>
      <c r="D364" t="inlineStr">
        <is>
          <t>DALARNAS LÄN</t>
        </is>
      </c>
      <c r="E364" t="inlineStr">
        <is>
          <t>HEDEMORA</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19002-2026</t>
        </is>
      </c>
      <c r="B365" s="1" t="n">
        <v>46129</v>
      </c>
      <c r="C365" s="1" t="n">
        <v>46202</v>
      </c>
      <c r="D365" t="inlineStr">
        <is>
          <t>DALARNAS LÄN</t>
        </is>
      </c>
      <c r="E365" t="inlineStr">
        <is>
          <t>HEDEMORA</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19262-2026</t>
        </is>
      </c>
      <c r="B366" s="1" t="n">
        <v>46132</v>
      </c>
      <c r="C366" s="1" t="n">
        <v>46202</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24959-2026</t>
        </is>
      </c>
      <c r="B367" s="1" t="n">
        <v>46174</v>
      </c>
      <c r="C367" s="1" t="n">
        <v>46202</v>
      </c>
      <c r="D367" t="inlineStr">
        <is>
          <t>DALARNAS LÄN</t>
        </is>
      </c>
      <c r="E367" t="inlineStr">
        <is>
          <t>HEDEMORA</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24955-2026</t>
        </is>
      </c>
      <c r="B368" s="1" t="n">
        <v>46174</v>
      </c>
      <c r="C368" s="1" t="n">
        <v>46202</v>
      </c>
      <c r="D368" t="inlineStr">
        <is>
          <t>DALARNAS LÄN</t>
        </is>
      </c>
      <c r="E368" t="inlineStr">
        <is>
          <t>HEDEMORA</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25421-2026</t>
        </is>
      </c>
      <c r="B369" s="1" t="n">
        <v>46177</v>
      </c>
      <c r="C369" s="1" t="n">
        <v>46202</v>
      </c>
      <c r="D369" t="inlineStr">
        <is>
          <t>DALARNAS LÄN</t>
        </is>
      </c>
      <c r="E369" t="inlineStr">
        <is>
          <t>HEDEMORA</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19564-2026</t>
        </is>
      </c>
      <c r="B370" s="1" t="n">
        <v>46134</v>
      </c>
      <c r="C370" s="1" t="n">
        <v>46202</v>
      </c>
      <c r="D370" t="inlineStr">
        <is>
          <t>DALARNAS LÄN</t>
        </is>
      </c>
      <c r="E370" t="inlineStr">
        <is>
          <t>HEDEMORA</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19670-2026</t>
        </is>
      </c>
      <c r="B371" s="1" t="n">
        <v>46134</v>
      </c>
      <c r="C371" s="1" t="n">
        <v>46202</v>
      </c>
      <c r="D371" t="inlineStr">
        <is>
          <t>DALARNAS LÄN</t>
        </is>
      </c>
      <c r="E371" t="inlineStr">
        <is>
          <t>HEDEMORA</t>
        </is>
      </c>
      <c r="G371" t="n">
        <v>2.8</v>
      </c>
      <c r="H371" t="n">
        <v>0</v>
      </c>
      <c r="I371" t="n">
        <v>0</v>
      </c>
      <c r="J371" t="n">
        <v>0</v>
      </c>
      <c r="K371" t="n">
        <v>0</v>
      </c>
      <c r="L371" t="n">
        <v>0</v>
      </c>
      <c r="M371" t="n">
        <v>0</v>
      </c>
      <c r="N371" t="n">
        <v>0</v>
      </c>
      <c r="O371" t="n">
        <v>0</v>
      </c>
      <c r="P371" t="n">
        <v>0</v>
      </c>
      <c r="Q371" t="n">
        <v>0</v>
      </c>
      <c r="R371" s="2" t="inlineStr"/>
    </row>
    <row r="372" ht="15" customHeight="1">
      <c r="A372" t="inlineStr">
        <is>
          <t>A 25419-2026</t>
        </is>
      </c>
      <c r="B372" s="1" t="n">
        <v>46177</v>
      </c>
      <c r="C372" s="1" t="n">
        <v>46202</v>
      </c>
      <c r="D372" t="inlineStr">
        <is>
          <t>DALARNAS LÄN</t>
        </is>
      </c>
      <c r="E372" t="inlineStr">
        <is>
          <t>HEDEMORA</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20385-2026</t>
        </is>
      </c>
      <c r="B373" s="1" t="n">
        <v>46139</v>
      </c>
      <c r="C373" s="1" t="n">
        <v>46202</v>
      </c>
      <c r="D373" t="inlineStr">
        <is>
          <t>DALARNAS LÄN</t>
        </is>
      </c>
      <c r="E373" t="inlineStr">
        <is>
          <t>HEDEMORA</t>
        </is>
      </c>
      <c r="F373" t="inlineStr">
        <is>
          <t>Sveaskog</t>
        </is>
      </c>
      <c r="G373" t="n">
        <v>15.4</v>
      </c>
      <c r="H373" t="n">
        <v>0</v>
      </c>
      <c r="I373" t="n">
        <v>0</v>
      </c>
      <c r="J373" t="n">
        <v>0</v>
      </c>
      <c r="K373" t="n">
        <v>0</v>
      </c>
      <c r="L373" t="n">
        <v>0</v>
      </c>
      <c r="M373" t="n">
        <v>0</v>
      </c>
      <c r="N373" t="n">
        <v>0</v>
      </c>
      <c r="O373" t="n">
        <v>0</v>
      </c>
      <c r="P373" t="n">
        <v>0</v>
      </c>
      <c r="Q373" t="n">
        <v>0</v>
      </c>
      <c r="R373" s="2" t="inlineStr"/>
    </row>
    <row r="374" ht="15" customHeight="1">
      <c r="A374" t="inlineStr">
        <is>
          <t>A 19932-2026</t>
        </is>
      </c>
      <c r="B374" s="1" t="n">
        <v>46136</v>
      </c>
      <c r="C374" s="1" t="n">
        <v>46202</v>
      </c>
      <c r="D374" t="inlineStr">
        <is>
          <t>DALARNAS LÄN</t>
        </is>
      </c>
      <c r="E374" t="inlineStr">
        <is>
          <t>HEDEMORA</t>
        </is>
      </c>
      <c r="F374" t="inlineStr">
        <is>
          <t>Sveaskog</t>
        </is>
      </c>
      <c r="G374" t="n">
        <v>0.4</v>
      </c>
      <c r="H374" t="n">
        <v>0</v>
      </c>
      <c r="I374" t="n">
        <v>0</v>
      </c>
      <c r="J374" t="n">
        <v>0</v>
      </c>
      <c r="K374" t="n">
        <v>0</v>
      </c>
      <c r="L374" t="n">
        <v>0</v>
      </c>
      <c r="M374" t="n">
        <v>0</v>
      </c>
      <c r="N374" t="n">
        <v>0</v>
      </c>
      <c r="O374" t="n">
        <v>0</v>
      </c>
      <c r="P374" t="n">
        <v>0</v>
      </c>
      <c r="Q374" t="n">
        <v>0</v>
      </c>
      <c r="R374" s="2" t="inlineStr"/>
    </row>
    <row r="375" ht="15" customHeight="1">
      <c r="A375" t="inlineStr">
        <is>
          <t>A 29585-2024</t>
        </is>
      </c>
      <c r="B375" s="1" t="n">
        <v>45484</v>
      </c>
      <c r="C375" s="1" t="n">
        <v>46202</v>
      </c>
      <c r="D375" t="inlineStr">
        <is>
          <t>DALARNAS LÄN</t>
        </is>
      </c>
      <c r="E375" t="inlineStr">
        <is>
          <t>HEDEMORA</t>
        </is>
      </c>
      <c r="F375" t="inlineStr">
        <is>
          <t>Bergvik skog väst AB</t>
        </is>
      </c>
      <c r="G375" t="n">
        <v>8.1</v>
      </c>
      <c r="H375" t="n">
        <v>0</v>
      </c>
      <c r="I375" t="n">
        <v>0</v>
      </c>
      <c r="J375" t="n">
        <v>0</v>
      </c>
      <c r="K375" t="n">
        <v>0</v>
      </c>
      <c r="L375" t="n">
        <v>0</v>
      </c>
      <c r="M375" t="n">
        <v>0</v>
      </c>
      <c r="N375" t="n">
        <v>0</v>
      </c>
      <c r="O375" t="n">
        <v>0</v>
      </c>
      <c r="P375" t="n">
        <v>0</v>
      </c>
      <c r="Q375" t="n">
        <v>0</v>
      </c>
      <c r="R375" s="2" t="inlineStr"/>
    </row>
    <row r="376" ht="15" customHeight="1">
      <c r="A376" t="inlineStr">
        <is>
          <t>A 48834-2023</t>
        </is>
      </c>
      <c r="B376" s="1" t="n">
        <v>45209</v>
      </c>
      <c r="C376" s="1" t="n">
        <v>46202</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6687-2026</t>
        </is>
      </c>
      <c r="B377" s="1" t="n">
        <v>46056</v>
      </c>
      <c r="C377" s="1" t="n">
        <v>46202</v>
      </c>
      <c r="D377" t="inlineStr">
        <is>
          <t>DALARNAS LÄN</t>
        </is>
      </c>
      <c r="E377" t="inlineStr">
        <is>
          <t>HEDEMORA</t>
        </is>
      </c>
      <c r="G377" t="n">
        <v>1</v>
      </c>
      <c r="H377" t="n">
        <v>0</v>
      </c>
      <c r="I377" t="n">
        <v>0</v>
      </c>
      <c r="J377" t="n">
        <v>0</v>
      </c>
      <c r="K377" t="n">
        <v>0</v>
      </c>
      <c r="L377" t="n">
        <v>0</v>
      </c>
      <c r="M377" t="n">
        <v>0</v>
      </c>
      <c r="N377" t="n">
        <v>0</v>
      </c>
      <c r="O377" t="n">
        <v>0</v>
      </c>
      <c r="P377" t="n">
        <v>0</v>
      </c>
      <c r="Q377" t="n">
        <v>0</v>
      </c>
      <c r="R377" s="2" t="inlineStr"/>
    </row>
    <row r="378" ht="15" customHeight="1">
      <c r="A378" t="inlineStr">
        <is>
          <t>A 9106-2026</t>
        </is>
      </c>
      <c r="B378" s="1" t="n">
        <v>46069</v>
      </c>
      <c r="C378" s="1" t="n">
        <v>46202</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63829-2025</t>
        </is>
      </c>
      <c r="B379" s="1" t="n">
        <v>46020</v>
      </c>
      <c r="C379" s="1" t="n">
        <v>46202</v>
      </c>
      <c r="D379" t="inlineStr">
        <is>
          <t>DALARNAS LÄN</t>
        </is>
      </c>
      <c r="E379" t="inlineStr">
        <is>
          <t>HEDEMORA</t>
        </is>
      </c>
      <c r="G379" t="n">
        <v>3.9</v>
      </c>
      <c r="H379" t="n">
        <v>0</v>
      </c>
      <c r="I379" t="n">
        <v>0</v>
      </c>
      <c r="J379" t="n">
        <v>0</v>
      </c>
      <c r="K379" t="n">
        <v>0</v>
      </c>
      <c r="L379" t="n">
        <v>0</v>
      </c>
      <c r="M379" t="n">
        <v>0</v>
      </c>
      <c r="N379" t="n">
        <v>0</v>
      </c>
      <c r="O379" t="n">
        <v>0</v>
      </c>
      <c r="P379" t="n">
        <v>0</v>
      </c>
      <c r="Q379" t="n">
        <v>0</v>
      </c>
      <c r="R379" s="2" t="inlineStr"/>
    </row>
    <row r="380" ht="15" customHeight="1">
      <c r="A380" t="inlineStr">
        <is>
          <t>A 29283-2022</t>
        </is>
      </c>
      <c r="B380" s="1" t="n">
        <v>44750</v>
      </c>
      <c r="C380" s="1" t="n">
        <v>46202</v>
      </c>
      <c r="D380" t="inlineStr">
        <is>
          <t>DALARNAS LÄN</t>
        </is>
      </c>
      <c r="E380" t="inlineStr">
        <is>
          <t>HEDEMORA</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40419-2025</t>
        </is>
      </c>
      <c r="B381" s="1" t="n">
        <v>45895</v>
      </c>
      <c r="C381" s="1" t="n">
        <v>46202</v>
      </c>
      <c r="D381" t="inlineStr">
        <is>
          <t>DALARNAS LÄN</t>
        </is>
      </c>
      <c r="E381" t="inlineStr">
        <is>
          <t>HEDEMORA</t>
        </is>
      </c>
      <c r="G381" t="n">
        <v>3.1</v>
      </c>
      <c r="H381" t="n">
        <v>0</v>
      </c>
      <c r="I381" t="n">
        <v>0</v>
      </c>
      <c r="J381" t="n">
        <v>0</v>
      </c>
      <c r="K381" t="n">
        <v>0</v>
      </c>
      <c r="L381" t="n">
        <v>0</v>
      </c>
      <c r="M381" t="n">
        <v>0</v>
      </c>
      <c r="N381" t="n">
        <v>0</v>
      </c>
      <c r="O381" t="n">
        <v>0</v>
      </c>
      <c r="P381" t="n">
        <v>0</v>
      </c>
      <c r="Q381" t="n">
        <v>0</v>
      </c>
      <c r="R381" s="2" t="inlineStr"/>
    </row>
    <row r="382" ht="15" customHeight="1">
      <c r="A382" t="inlineStr">
        <is>
          <t>A 25925-2026</t>
        </is>
      </c>
      <c r="B382" s="1" t="n">
        <v>46178</v>
      </c>
      <c r="C382" s="1" t="n">
        <v>46202</v>
      </c>
      <c r="D382" t="inlineStr">
        <is>
          <t>DALARNAS LÄN</t>
        </is>
      </c>
      <c r="E382" t="inlineStr">
        <is>
          <t>HEDEMORA</t>
        </is>
      </c>
      <c r="F382" t="inlineStr">
        <is>
          <t>Sveaskog</t>
        </is>
      </c>
      <c r="G382" t="n">
        <v>8</v>
      </c>
      <c r="H382" t="n">
        <v>0</v>
      </c>
      <c r="I382" t="n">
        <v>0</v>
      </c>
      <c r="J382" t="n">
        <v>0</v>
      </c>
      <c r="K382" t="n">
        <v>0</v>
      </c>
      <c r="L382" t="n">
        <v>0</v>
      </c>
      <c r="M382" t="n">
        <v>0</v>
      </c>
      <c r="N382" t="n">
        <v>0</v>
      </c>
      <c r="O382" t="n">
        <v>0</v>
      </c>
      <c r="P382" t="n">
        <v>0</v>
      </c>
      <c r="Q382" t="n">
        <v>0</v>
      </c>
      <c r="R382" s="2" t="inlineStr"/>
    </row>
    <row r="383" ht="15" customHeight="1">
      <c r="A383" t="inlineStr">
        <is>
          <t>A 26705-2025</t>
        </is>
      </c>
      <c r="B383" s="1" t="n">
        <v>45810</v>
      </c>
      <c r="C383" s="1" t="n">
        <v>46202</v>
      </c>
      <c r="D383" t="inlineStr">
        <is>
          <t>DALARNAS LÄN</t>
        </is>
      </c>
      <c r="E383" t="inlineStr">
        <is>
          <t>HEDEMORA</t>
        </is>
      </c>
      <c r="G383" t="n">
        <v>1.9</v>
      </c>
      <c r="H383" t="n">
        <v>0</v>
      </c>
      <c r="I383" t="n">
        <v>0</v>
      </c>
      <c r="J383" t="n">
        <v>0</v>
      </c>
      <c r="K383" t="n">
        <v>0</v>
      </c>
      <c r="L383" t="n">
        <v>0</v>
      </c>
      <c r="M383" t="n">
        <v>0</v>
      </c>
      <c r="N383" t="n">
        <v>0</v>
      </c>
      <c r="O383" t="n">
        <v>0</v>
      </c>
      <c r="P383" t="n">
        <v>0</v>
      </c>
      <c r="Q383" t="n">
        <v>0</v>
      </c>
      <c r="R383" s="2" t="inlineStr"/>
    </row>
    <row r="384" ht="15" customHeight="1">
      <c r="A384" t="inlineStr">
        <is>
          <t>A 25924-2026</t>
        </is>
      </c>
      <c r="B384" s="1" t="n">
        <v>46178</v>
      </c>
      <c r="C384" s="1" t="n">
        <v>46202</v>
      </c>
      <c r="D384" t="inlineStr">
        <is>
          <t>DALARNAS LÄN</t>
        </is>
      </c>
      <c r="E384" t="inlineStr">
        <is>
          <t>HEDEMORA</t>
        </is>
      </c>
      <c r="F384" t="inlineStr">
        <is>
          <t>Sveaskog</t>
        </is>
      </c>
      <c r="G384" t="n">
        <v>18.3</v>
      </c>
      <c r="H384" t="n">
        <v>0</v>
      </c>
      <c r="I384" t="n">
        <v>0</v>
      </c>
      <c r="J384" t="n">
        <v>0</v>
      </c>
      <c r="K384" t="n">
        <v>0</v>
      </c>
      <c r="L384" t="n">
        <v>0</v>
      </c>
      <c r="M384" t="n">
        <v>0</v>
      </c>
      <c r="N384" t="n">
        <v>0</v>
      </c>
      <c r="O384" t="n">
        <v>0</v>
      </c>
      <c r="P384" t="n">
        <v>0</v>
      </c>
      <c r="Q384" t="n">
        <v>0</v>
      </c>
      <c r="R384" s="2" t="inlineStr"/>
    </row>
    <row r="385" ht="15" customHeight="1">
      <c r="A385" t="inlineStr">
        <is>
          <t>A 39552-2024</t>
        </is>
      </c>
      <c r="B385" s="1" t="n">
        <v>45551</v>
      </c>
      <c r="C385" s="1" t="n">
        <v>46202</v>
      </c>
      <c r="D385" t="inlineStr">
        <is>
          <t>DALARNAS LÄN</t>
        </is>
      </c>
      <c r="E385" t="inlineStr">
        <is>
          <t>HEDEMORA</t>
        </is>
      </c>
      <c r="F385" t="inlineStr">
        <is>
          <t>Bergvik skog väst AB</t>
        </is>
      </c>
      <c r="G385" t="n">
        <v>24.1</v>
      </c>
      <c r="H385" t="n">
        <v>0</v>
      </c>
      <c r="I385" t="n">
        <v>0</v>
      </c>
      <c r="J385" t="n">
        <v>0</v>
      </c>
      <c r="K385" t="n">
        <v>0</v>
      </c>
      <c r="L385" t="n">
        <v>0</v>
      </c>
      <c r="M385" t="n">
        <v>0</v>
      </c>
      <c r="N385" t="n">
        <v>0</v>
      </c>
      <c r="O385" t="n">
        <v>0</v>
      </c>
      <c r="P385" t="n">
        <v>0</v>
      </c>
      <c r="Q385" t="n">
        <v>0</v>
      </c>
      <c r="R385" s="2" t="inlineStr"/>
    </row>
    <row r="386" ht="15" customHeight="1">
      <c r="A386" t="inlineStr">
        <is>
          <t>A 25830-2026</t>
        </is>
      </c>
      <c r="B386" s="1" t="n">
        <v>46178</v>
      </c>
      <c r="C386" s="1" t="n">
        <v>46202</v>
      </c>
      <c r="D386" t="inlineStr">
        <is>
          <t>DALARNAS LÄN</t>
        </is>
      </c>
      <c r="E386" t="inlineStr">
        <is>
          <t>HEDEMORA</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11541-2026</t>
        </is>
      </c>
      <c r="B387" s="1" t="n">
        <v>46083</v>
      </c>
      <c r="C387" s="1" t="n">
        <v>46202</v>
      </c>
      <c r="D387" t="inlineStr">
        <is>
          <t>DALARNAS LÄN</t>
        </is>
      </c>
      <c r="E387" t="inlineStr">
        <is>
          <t>HEDEMORA</t>
        </is>
      </c>
      <c r="G387" t="n">
        <v>1.4</v>
      </c>
      <c r="H387" t="n">
        <v>0</v>
      </c>
      <c r="I387" t="n">
        <v>0</v>
      </c>
      <c r="J387" t="n">
        <v>0</v>
      </c>
      <c r="K387" t="n">
        <v>0</v>
      </c>
      <c r="L387" t="n">
        <v>0</v>
      </c>
      <c r="M387" t="n">
        <v>0</v>
      </c>
      <c r="N387" t="n">
        <v>0</v>
      </c>
      <c r="O387" t="n">
        <v>0</v>
      </c>
      <c r="P387" t="n">
        <v>0</v>
      </c>
      <c r="Q387" t="n">
        <v>0</v>
      </c>
      <c r="R387" s="2" t="inlineStr"/>
    </row>
    <row r="388" ht="15" customHeight="1">
      <c r="A388" t="inlineStr">
        <is>
          <t>A 1721-2026</t>
        </is>
      </c>
      <c r="B388" s="1" t="n">
        <v>46034</v>
      </c>
      <c r="C388" s="1" t="n">
        <v>46202</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26906-2026</t>
        </is>
      </c>
      <c r="B389" s="1" t="n">
        <v>46185</v>
      </c>
      <c r="C389" s="1" t="n">
        <v>46202</v>
      </c>
      <c r="D389" t="inlineStr">
        <is>
          <t>DALARNAS LÄN</t>
        </is>
      </c>
      <c r="E389" t="inlineStr">
        <is>
          <t>HEDEMORA</t>
        </is>
      </c>
      <c r="F389" t="inlineStr">
        <is>
          <t>Sveaskog</t>
        </is>
      </c>
      <c r="G389" t="n">
        <v>3.5</v>
      </c>
      <c r="H389" t="n">
        <v>0</v>
      </c>
      <c r="I389" t="n">
        <v>0</v>
      </c>
      <c r="J389" t="n">
        <v>0</v>
      </c>
      <c r="K389" t="n">
        <v>0</v>
      </c>
      <c r="L389" t="n">
        <v>0</v>
      </c>
      <c r="M389" t="n">
        <v>0</v>
      </c>
      <c r="N389" t="n">
        <v>0</v>
      </c>
      <c r="O389" t="n">
        <v>0</v>
      </c>
      <c r="P389" t="n">
        <v>0</v>
      </c>
      <c r="Q389" t="n">
        <v>0</v>
      </c>
      <c r="R389" s="2" t="inlineStr"/>
    </row>
    <row r="390" ht="15" customHeight="1">
      <c r="A390" t="inlineStr">
        <is>
          <t>A 21581-2026</t>
        </is>
      </c>
      <c r="B390" s="1" t="n">
        <v>46148</v>
      </c>
      <c r="C390" s="1" t="n">
        <v>46202</v>
      </c>
      <c r="D390" t="inlineStr">
        <is>
          <t>DALARNAS LÄN</t>
        </is>
      </c>
      <c r="E390" t="inlineStr">
        <is>
          <t>HEDEMORA</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26395-2026</t>
        </is>
      </c>
      <c r="B391" s="1" t="n">
        <v>46183</v>
      </c>
      <c r="C391" s="1" t="n">
        <v>46202</v>
      </c>
      <c r="D391" t="inlineStr">
        <is>
          <t>DALARNAS LÄN</t>
        </is>
      </c>
      <c r="E391" t="inlineStr">
        <is>
          <t>HEDEMORA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26452-2024</t>
        </is>
      </c>
      <c r="B392" s="1" t="n">
        <v>45469</v>
      </c>
      <c r="C392" s="1" t="n">
        <v>46202</v>
      </c>
      <c r="D392" t="inlineStr">
        <is>
          <t>DALARNAS LÄN</t>
        </is>
      </c>
      <c r="E392" t="inlineStr">
        <is>
          <t>HEDEMORA</t>
        </is>
      </c>
      <c r="G392" t="n">
        <v>2.3</v>
      </c>
      <c r="H392" t="n">
        <v>0</v>
      </c>
      <c r="I392" t="n">
        <v>0</v>
      </c>
      <c r="J392" t="n">
        <v>0</v>
      </c>
      <c r="K392" t="n">
        <v>0</v>
      </c>
      <c r="L392" t="n">
        <v>0</v>
      </c>
      <c r="M392" t="n">
        <v>0</v>
      </c>
      <c r="N392" t="n">
        <v>0</v>
      </c>
      <c r="O392" t="n">
        <v>0</v>
      </c>
      <c r="P392" t="n">
        <v>0</v>
      </c>
      <c r="Q392" t="n">
        <v>0</v>
      </c>
      <c r="R392" s="2" t="inlineStr"/>
    </row>
    <row r="393" ht="15" customHeight="1">
      <c r="A393" t="inlineStr">
        <is>
          <t>A 22396-2026</t>
        </is>
      </c>
      <c r="B393" s="1" t="n">
        <v>46154</v>
      </c>
      <c r="C393" s="1" t="n">
        <v>46202</v>
      </c>
      <c r="D393" t="inlineStr">
        <is>
          <t>DALARNAS LÄN</t>
        </is>
      </c>
      <c r="E393" t="inlineStr">
        <is>
          <t>HEDEMORA</t>
        </is>
      </c>
      <c r="F393" t="inlineStr">
        <is>
          <t>Övriga Aktiebolag</t>
        </is>
      </c>
      <c r="G393" t="n">
        <v>2.5</v>
      </c>
      <c r="H393" t="n">
        <v>0</v>
      </c>
      <c r="I393" t="n">
        <v>0</v>
      </c>
      <c r="J393" t="n">
        <v>0</v>
      </c>
      <c r="K393" t="n">
        <v>0</v>
      </c>
      <c r="L393" t="n">
        <v>0</v>
      </c>
      <c r="M393" t="n">
        <v>0</v>
      </c>
      <c r="N393" t="n">
        <v>0</v>
      </c>
      <c r="O393" t="n">
        <v>0</v>
      </c>
      <c r="P393" t="n">
        <v>0</v>
      </c>
      <c r="Q393" t="n">
        <v>0</v>
      </c>
      <c r="R393" s="2" t="inlineStr"/>
    </row>
    <row r="394" ht="15" customHeight="1">
      <c r="A394" t="inlineStr">
        <is>
          <t>A 6372-2026</t>
        </is>
      </c>
      <c r="B394" s="1" t="n">
        <v>46055</v>
      </c>
      <c r="C394" s="1" t="n">
        <v>46202</v>
      </c>
      <c r="D394" t="inlineStr">
        <is>
          <t>DALARNAS LÄN</t>
        </is>
      </c>
      <c r="E394" t="inlineStr">
        <is>
          <t>HEDEMORA</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22490-2026</t>
        </is>
      </c>
      <c r="B395" s="1" t="n">
        <v>46154</v>
      </c>
      <c r="C395" s="1" t="n">
        <v>46202</v>
      </c>
      <c r="D395" t="inlineStr">
        <is>
          <t>DALARNAS LÄN</t>
        </is>
      </c>
      <c r="E395" t="inlineStr">
        <is>
          <t>HEDEMORA</t>
        </is>
      </c>
      <c r="G395" t="n">
        <v>3.2</v>
      </c>
      <c r="H395" t="n">
        <v>0</v>
      </c>
      <c r="I395" t="n">
        <v>0</v>
      </c>
      <c r="J395" t="n">
        <v>0</v>
      </c>
      <c r="K395" t="n">
        <v>0</v>
      </c>
      <c r="L395" t="n">
        <v>0</v>
      </c>
      <c r="M395" t="n">
        <v>0</v>
      </c>
      <c r="N395" t="n">
        <v>0</v>
      </c>
      <c r="O395" t="n">
        <v>0</v>
      </c>
      <c r="P395" t="n">
        <v>0</v>
      </c>
      <c r="Q395" t="n">
        <v>0</v>
      </c>
      <c r="R395" s="2" t="inlineStr"/>
    </row>
    <row r="396" ht="15" customHeight="1">
      <c r="A396" t="inlineStr">
        <is>
          <t>A 19938-2026</t>
        </is>
      </c>
      <c r="B396" s="1" t="n">
        <v>46136</v>
      </c>
      <c r="C396" s="1" t="n">
        <v>46202</v>
      </c>
      <c r="D396" t="inlineStr">
        <is>
          <t>DALARNAS LÄN</t>
        </is>
      </c>
      <c r="E396" t="inlineStr">
        <is>
          <t>HEDEMORA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19929-2026</t>
        </is>
      </c>
      <c r="B397" s="1" t="n">
        <v>46136</v>
      </c>
      <c r="C397" s="1" t="n">
        <v>46202</v>
      </c>
      <c r="D397" t="inlineStr">
        <is>
          <t>DALARNAS LÄN</t>
        </is>
      </c>
      <c r="E397" t="inlineStr">
        <is>
          <t>HEDEMORA</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19942-2026</t>
        </is>
      </c>
      <c r="B398" s="1" t="n">
        <v>46136</v>
      </c>
      <c r="C398" s="1" t="n">
        <v>46202</v>
      </c>
      <c r="D398" t="inlineStr">
        <is>
          <t>DALARNAS LÄN</t>
        </is>
      </c>
      <c r="E398" t="inlineStr">
        <is>
          <t>HEDEMORA</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22882-2026</t>
        </is>
      </c>
      <c r="B399" s="1" t="n">
        <v>46157</v>
      </c>
      <c r="C399" s="1" t="n">
        <v>46202</v>
      </c>
      <c r="D399" t="inlineStr">
        <is>
          <t>DALARNAS LÄN</t>
        </is>
      </c>
      <c r="E399" t="inlineStr">
        <is>
          <t>HEDEMORA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28870-2026</t>
        </is>
      </c>
      <c r="B400" s="1" t="n">
        <v>46199</v>
      </c>
      <c r="C400" s="1" t="n">
        <v>46202</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28883-2026</t>
        </is>
      </c>
      <c r="B401" s="1" t="n">
        <v>46199</v>
      </c>
      <c r="C401" s="1" t="n">
        <v>46202</v>
      </c>
      <c r="D401" t="inlineStr">
        <is>
          <t>DALARNAS LÄN</t>
        </is>
      </c>
      <c r="E401" t="inlineStr">
        <is>
          <t>HEDEMORA</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17147-2026</t>
        </is>
      </c>
      <c r="B402" s="1" t="n">
        <v>46114</v>
      </c>
      <c r="C402" s="1" t="n">
        <v>46202</v>
      </c>
      <c r="D402" t="inlineStr">
        <is>
          <t>DALARNAS LÄN</t>
        </is>
      </c>
      <c r="E402" t="inlineStr">
        <is>
          <t>HEDEMORA</t>
        </is>
      </c>
      <c r="F402" t="inlineStr">
        <is>
          <t>Sveaskog</t>
        </is>
      </c>
      <c r="G402" t="n">
        <v>1.6</v>
      </c>
      <c r="H402" t="n">
        <v>0</v>
      </c>
      <c r="I402" t="n">
        <v>0</v>
      </c>
      <c r="J402" t="n">
        <v>0</v>
      </c>
      <c r="K402" t="n">
        <v>0</v>
      </c>
      <c r="L402" t="n">
        <v>0</v>
      </c>
      <c r="M402" t="n">
        <v>0</v>
      </c>
      <c r="N402" t="n">
        <v>0</v>
      </c>
      <c r="O402" t="n">
        <v>0</v>
      </c>
      <c r="P402" t="n">
        <v>0</v>
      </c>
      <c r="Q402" t="n">
        <v>0</v>
      </c>
      <c r="R402" s="2" t="inlineStr"/>
    </row>
    <row r="403">
      <c r="A403" t="inlineStr">
        <is>
          <t>A 17148-2026</t>
        </is>
      </c>
      <c r="B403" s="1" t="n">
        <v>46114</v>
      </c>
      <c r="C403" s="1" t="n">
        <v>46202</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2026-06-29T00:57:43Z</dcterms:created>
  <dcterms:modified xmlns:dcterms="http://purl.org/dc/terms/" xmlns:xsi="http://www.w3.org/2001/XMLSchema-instance" xsi:type="dcterms:W3CDTF">2026-06-29T00:57:43Z</dcterms:modified>
</cp:coreProperties>
</file>