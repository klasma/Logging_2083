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45564</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45564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45564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45564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45564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45564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45564</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45564</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45564</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45564</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45564</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45564</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45564</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45564</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45564</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45564</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45564</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45564</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45564</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30003-2024</t>
        </is>
      </c>
      <c r="B21" s="1" t="n">
        <v>45488</v>
      </c>
      <c r="C21" s="1" t="n">
        <v>45564</v>
      </c>
      <c r="D21" t="inlineStr">
        <is>
          <t>DALARNAS LÄN</t>
        </is>
      </c>
      <c r="E21" t="inlineStr">
        <is>
          <t>HEDEMORA</t>
        </is>
      </c>
      <c r="G21" t="n">
        <v>10.4</v>
      </c>
      <c r="H21" t="n">
        <v>2</v>
      </c>
      <c r="I21" t="n">
        <v>2</v>
      </c>
      <c r="J21" t="n">
        <v>2</v>
      </c>
      <c r="K21" t="n">
        <v>1</v>
      </c>
      <c r="L21" t="n">
        <v>0</v>
      </c>
      <c r="M21" t="n">
        <v>0</v>
      </c>
      <c r="N21" t="n">
        <v>0</v>
      </c>
      <c r="O21" t="n">
        <v>3</v>
      </c>
      <c r="P21" t="n">
        <v>1</v>
      </c>
      <c r="Q21" t="n">
        <v>5</v>
      </c>
      <c r="R21" s="2" t="inlineStr">
        <is>
          <t>Knärot
Spillkråka
Ullticka
Rödgul trumpetsvamp
Svavelriska</t>
        </is>
      </c>
      <c r="S21">
        <f>HYPERLINK("https://klasma.github.io/Logging_2083/artfynd/A 30003-2024 artfynd.xlsx", "A 30003-2024")</f>
        <v/>
      </c>
      <c r="T21">
        <f>HYPERLINK("https://klasma.github.io/Logging_2083/kartor/A 30003-2024 karta.png", "A 30003-2024")</f>
        <v/>
      </c>
      <c r="U21">
        <f>HYPERLINK("https://klasma.github.io/Logging_2083/knärot/A 30003-2024 karta knärot.png", "A 30003-2024")</f>
        <v/>
      </c>
      <c r="V21">
        <f>HYPERLINK("https://klasma.github.io/Logging_2083/klagomål/A 30003-2024 FSC-klagomål.docx", "A 30003-2024")</f>
        <v/>
      </c>
      <c r="W21">
        <f>HYPERLINK("https://klasma.github.io/Logging_2083/klagomålsmail/A 30003-2024 FSC-klagomål mail.docx", "A 30003-2024")</f>
        <v/>
      </c>
      <c r="X21">
        <f>HYPERLINK("https://klasma.github.io/Logging_2083/tillsyn/A 30003-2024 tillsynsbegäran.docx", "A 30003-2024")</f>
        <v/>
      </c>
      <c r="Y21">
        <f>HYPERLINK("https://klasma.github.io/Logging_2083/tillsynsmail/A 30003-2024 tillsynsbegäran mail.docx", "A 30003-2024")</f>
        <v/>
      </c>
      <c r="Z21">
        <f>HYPERLINK("https://klasma.github.io/Logging_2083/fåglar/A 30003-2024 prioriterade fågelarter.docx", "A 30003-2024")</f>
        <v/>
      </c>
    </row>
    <row r="22" ht="15" customHeight="1">
      <c r="A22" t="inlineStr">
        <is>
          <t>A 49872-2021</t>
        </is>
      </c>
      <c r="B22" s="1" t="n">
        <v>44455</v>
      </c>
      <c r="C22" s="1" t="n">
        <v>45564</v>
      </c>
      <c r="D22" t="inlineStr">
        <is>
          <t>DALARNAS LÄN</t>
        </is>
      </c>
      <c r="E22" t="inlineStr">
        <is>
          <t>HEDEMORA</t>
        </is>
      </c>
      <c r="G22" t="n">
        <v>3.4</v>
      </c>
      <c r="H22" t="n">
        <v>3</v>
      </c>
      <c r="I22" t="n">
        <v>1</v>
      </c>
      <c r="J22" t="n">
        <v>0</v>
      </c>
      <c r="K22" t="n">
        <v>1</v>
      </c>
      <c r="L22" t="n">
        <v>0</v>
      </c>
      <c r="M22" t="n">
        <v>0</v>
      </c>
      <c r="N22" t="n">
        <v>0</v>
      </c>
      <c r="O22" t="n">
        <v>1</v>
      </c>
      <c r="P22" t="n">
        <v>1</v>
      </c>
      <c r="Q22" t="n">
        <v>4</v>
      </c>
      <c r="R22" s="2" t="inlineStr">
        <is>
          <t>Knärot
Fjällig taggsvamp s.str.
Blåsippa
Revlummer</t>
        </is>
      </c>
      <c r="S22">
        <f>HYPERLINK("https://klasma.github.io/Logging_2083/artfynd/A 49872-2021 artfynd.xlsx", "A 49872-2021")</f>
        <v/>
      </c>
      <c r="T22">
        <f>HYPERLINK("https://klasma.github.io/Logging_2083/kartor/A 49872-2021 karta.png", "A 49872-2021")</f>
        <v/>
      </c>
      <c r="U22">
        <f>HYPERLINK("https://klasma.github.io/Logging_2083/knärot/A 49872-2021 karta knärot.png", "A 49872-2021")</f>
        <v/>
      </c>
      <c r="V22">
        <f>HYPERLINK("https://klasma.github.io/Logging_2083/klagomål/A 49872-2021 FSC-klagomål.docx", "A 49872-2021")</f>
        <v/>
      </c>
      <c r="W22">
        <f>HYPERLINK("https://klasma.github.io/Logging_2083/klagomålsmail/A 49872-2021 FSC-klagomål mail.docx", "A 49872-2021")</f>
        <v/>
      </c>
      <c r="X22">
        <f>HYPERLINK("https://klasma.github.io/Logging_2083/tillsyn/A 49872-2021 tillsynsbegäran.docx", "A 49872-2021")</f>
        <v/>
      </c>
      <c r="Y22">
        <f>HYPERLINK("https://klasma.github.io/Logging_2083/tillsynsmail/A 49872-2021 tillsynsbegäran mail.docx", "A 49872-2021")</f>
        <v/>
      </c>
    </row>
    <row r="23" ht="15" customHeight="1">
      <c r="A23" t="inlineStr">
        <is>
          <t>A 58719-2021</t>
        </is>
      </c>
      <c r="B23" s="1" t="n">
        <v>44489</v>
      </c>
      <c r="C23" s="1" t="n">
        <v>45564</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45564</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46595-2023</t>
        </is>
      </c>
      <c r="B25" s="1" t="n">
        <v>45194</v>
      </c>
      <c r="C25" s="1" t="n">
        <v>45564</v>
      </c>
      <c r="D25" t="inlineStr">
        <is>
          <t>DALARNAS LÄN</t>
        </is>
      </c>
      <c r="E25" t="inlineStr">
        <is>
          <t>HEDEMORA</t>
        </is>
      </c>
      <c r="G25" t="n">
        <v>13.5</v>
      </c>
      <c r="H25" t="n">
        <v>3</v>
      </c>
      <c r="I25" t="n">
        <v>1</v>
      </c>
      <c r="J25" t="n">
        <v>1</v>
      </c>
      <c r="K25" t="n">
        <v>0</v>
      </c>
      <c r="L25" t="n">
        <v>0</v>
      </c>
      <c r="M25" t="n">
        <v>0</v>
      </c>
      <c r="N25" t="n">
        <v>0</v>
      </c>
      <c r="O25" t="n">
        <v>1</v>
      </c>
      <c r="P25" t="n">
        <v>0</v>
      </c>
      <c r="Q25" t="n">
        <v>4</v>
      </c>
      <c r="R25" s="2" t="inlineStr">
        <is>
          <t>Spillkråka
Tibast
Trana
Blåsippa</t>
        </is>
      </c>
      <c r="S25">
        <f>HYPERLINK("https://klasma.github.io/Logging_2083/artfynd/A 46595-2023 artfynd.xlsx", "A 46595-2023")</f>
        <v/>
      </c>
      <c r="T25">
        <f>HYPERLINK("https://klasma.github.io/Logging_2083/kartor/A 46595-2023 karta.png", "A 46595-2023")</f>
        <v/>
      </c>
      <c r="V25">
        <f>HYPERLINK("https://klasma.github.io/Logging_2083/klagomål/A 46595-2023 FSC-klagomål.docx", "A 46595-2023")</f>
        <v/>
      </c>
      <c r="W25">
        <f>HYPERLINK("https://klasma.github.io/Logging_2083/klagomålsmail/A 46595-2023 FSC-klagomål mail.docx", "A 46595-2023")</f>
        <v/>
      </c>
      <c r="X25">
        <f>HYPERLINK("https://klasma.github.io/Logging_2083/tillsyn/A 46595-2023 tillsynsbegäran.docx", "A 46595-2023")</f>
        <v/>
      </c>
      <c r="Y25">
        <f>HYPERLINK("https://klasma.github.io/Logging_2083/tillsynsmail/A 46595-2023 tillsynsbegäran mail.docx", "A 46595-2023")</f>
        <v/>
      </c>
      <c r="Z25">
        <f>HYPERLINK("https://klasma.github.io/Logging_2083/fåglar/A 46595-2023 prioriterade fågelarter.docx", "A 46595-2023")</f>
        <v/>
      </c>
    </row>
    <row r="26" ht="15" customHeight="1">
      <c r="A26" t="inlineStr">
        <is>
          <t>A 992-2024</t>
        </is>
      </c>
      <c r="B26" s="1" t="n">
        <v>45301</v>
      </c>
      <c r="C26" s="1" t="n">
        <v>45564</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45564</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45564</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45564</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45564</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45564</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45564</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45564</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45564</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45564</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45564</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45564</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45564</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45564</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45564</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45564</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45564</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45564</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45564</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45564</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45564</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45564</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45564</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45564</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45564</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45564</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45564</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45564</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45564</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45564</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45564</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45564</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45564</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45564</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45564</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45564</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45564</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45564</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45564</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45564</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45564</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45564</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45564</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45564</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45564</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45564</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45564</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45564</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45564</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45564</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45564</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45564</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45564</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45564</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45564</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45564</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45564</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45564</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45564</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45564</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45564</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45564</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45564</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45564</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45564</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45564</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45564</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45564</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45564</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45564</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45564</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45564</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45564</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45564</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45564</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45564</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45564</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45564</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45564</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45564</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45564</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45564</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45564</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45564</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45564</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45564</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45564</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45564</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45564</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45564</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45564</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45564</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45564</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45564</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45564</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45564</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45564</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45564</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45564</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45564</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45564</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45564</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45564</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45564</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45564</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45564</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45564</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45564</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45564</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45564</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45564</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45564</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45564</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45564</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45564</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45564</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45564</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45564</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45564</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45564</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45564</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45564</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45564</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45564</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45564</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45564</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45564</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45564</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45564</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45564</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45564</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45564</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45564</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45564</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45564</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45564</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45564</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45564</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45564</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45564</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45564</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45564</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45564</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45564</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45564</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45564</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45564</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45564</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45564</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45564</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45564</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45564</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45564</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45564</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45564</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45564</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45564</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45564</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45564</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45564</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45564</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45564</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45564</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45564</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45564</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45564</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45564</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45564</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45564</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45564</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45564</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45564</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45564</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45564</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45564</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45564</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45564</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45564</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45564</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45564</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45564</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45564</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45564</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45564</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45564</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45564</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45564</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45564</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45564</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45564</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45564</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45564</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45564</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45564</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45564</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45564</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45564</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45564</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45564</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45564</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45564</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45564</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45564</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45564</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45564</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45564</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45564</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45564</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45564</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45564</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45564</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45564</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45564</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45564</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45564</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45564</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45564</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45564</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45564</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45564</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45564</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45564</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45564</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45564</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45564</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45564</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45564</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45564</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45564</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45564</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45564</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45564</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45564</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45564</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45564</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45564</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45564</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45564</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45564</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45564</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45564</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45564</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45564</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45564</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45564</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45564</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45564</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45564</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45564</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45564</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45564</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45564</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45564</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45564</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45564</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45564</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45564</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45564</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45564</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45564</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45564</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45564</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45564</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45564</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45564</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45564</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45564</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45564</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45564</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45564</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45564</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45564</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45564</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45564</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45564</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45564</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45564</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45564</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45564</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45564</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45564</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45564</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45564</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45564</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45564</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45564</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45564</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45564</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45564</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45564</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45564</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45564</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45564</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45564</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45564</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45564</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45564</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45564</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45564</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45564</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45564</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45564</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45564</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45564</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45564</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45564</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45564</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45564</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45564</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45564</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45564</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45564</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45564</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45564</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45564</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45564</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45564</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45564</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45564</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45564</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45564</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45564</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45564</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45564</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45564</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45564</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45564</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45564</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45564</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45564</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45564</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45564</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45564</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45564</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45564</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45564</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45564</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45564</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45564</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45564</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45564</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45564</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45564</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45564</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45564</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45564</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45564</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45564</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45564</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45564</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45564</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45564</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45564</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45564</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45564</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45564</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45564</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45564</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45564</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45564</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45564</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45564</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45564</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45564</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45564</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45564</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45564</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45564</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45564</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45564</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45564</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45564</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45564</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45564</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45564</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45564</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45564</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45564</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45564</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45564</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45564</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45564</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45564</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45564</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45564</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45564</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45564</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45564</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45564</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45564</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45564</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45564</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45564</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45564</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45564</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45564</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45564</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45564</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45564</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45564</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45564</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45564</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45564</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45564</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45564</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45564</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45564</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45564</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45564</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45564</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45564</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45564</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45564</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45564</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45564</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45564</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45564</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45564</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45564</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45564</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45564</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45564</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45564</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45564</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45564</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45564</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45564</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45564</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45564</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45564</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45564</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45564</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45564</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45564</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45564</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45564</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45564</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45564</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45564</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45564</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45564</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45564</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45564</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45564</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45564</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45564</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45564</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45564</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45564</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45564</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45564</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45564</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45564</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45564</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45564</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45564</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45564</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45564</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45564</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45564</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45564</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45564</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45564</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45564</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45564</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45564</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45564</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45564</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45564</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45564</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45564</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45564</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45564</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45564</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45564</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45564</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45564</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45564</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45564</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45564</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45564</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45564</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45564</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45564</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45564</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45564</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45564</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45564</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45564</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45564</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45564</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45564</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45564</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45564</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45564</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45564</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45564</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45564</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45564</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45564</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45564</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45564</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45564</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45564</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45564</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45564</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45564</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45564</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45564</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45564</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45564</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45564</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45564</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45564</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45564</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45564</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45564</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45564</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45564</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45564</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45564</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45564</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45564</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45564</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45564</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45564</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45564</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45564</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45564</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45564</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45564</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45564</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45564</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45564</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45564</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45564</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45564</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45564</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45564</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45564</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45564</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45564</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45564</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45564</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45564</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45564</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45564</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45564</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45564</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45564</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45564</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45564</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45564</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45564</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45564</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45564</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45564</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45564</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45564</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45564</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45564</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45564</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45564</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45564</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45564</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45564</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45564</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45564</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45564</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45564</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45564</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45564</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45564</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45564</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45564</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45564</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45564</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45564</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45564</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45564</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45564</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45564</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45564</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45564</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45564</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45564</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45564</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45564</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37762-2024</t>
        </is>
      </c>
      <c r="B614" s="1" t="n">
        <v>45541</v>
      </c>
      <c r="C614" s="1" t="n">
        <v>45564</v>
      </c>
      <c r="D614" t="inlineStr">
        <is>
          <t>DALARNAS LÄN</t>
        </is>
      </c>
      <c r="E614" t="inlineStr">
        <is>
          <t>HEDEMORA</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37766-2024</t>
        </is>
      </c>
      <c r="B615" s="1" t="n">
        <v>45541</v>
      </c>
      <c r="C615" s="1" t="n">
        <v>45564</v>
      </c>
      <c r="D615" t="inlineStr">
        <is>
          <t>DALARNAS LÄN</t>
        </is>
      </c>
      <c r="E615" t="inlineStr">
        <is>
          <t>HEDEMORA</t>
        </is>
      </c>
      <c r="F615" t="inlineStr">
        <is>
          <t>Sveaskog</t>
        </is>
      </c>
      <c r="G615" t="n">
        <v>2.8</v>
      </c>
      <c r="H615" t="n">
        <v>0</v>
      </c>
      <c r="I615" t="n">
        <v>0</v>
      </c>
      <c r="J615" t="n">
        <v>0</v>
      </c>
      <c r="K615" t="n">
        <v>0</v>
      </c>
      <c r="L615" t="n">
        <v>0</v>
      </c>
      <c r="M615" t="n">
        <v>0</v>
      </c>
      <c r="N615" t="n">
        <v>0</v>
      </c>
      <c r="O615" t="n">
        <v>0</v>
      </c>
      <c r="P615" t="n">
        <v>0</v>
      </c>
      <c r="Q615" t="n">
        <v>0</v>
      </c>
      <c r="R615" s="2" t="inlineStr"/>
    </row>
    <row r="616" ht="15" customHeight="1">
      <c r="A616" t="inlineStr">
        <is>
          <t>A 37759-2024</t>
        </is>
      </c>
      <c r="B616" s="1" t="n">
        <v>45541</v>
      </c>
      <c r="C616" s="1" t="n">
        <v>45564</v>
      </c>
      <c r="D616" t="inlineStr">
        <is>
          <t>DALARNAS LÄN</t>
        </is>
      </c>
      <c r="E616" t="inlineStr">
        <is>
          <t>HEDEMORA</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37761-2024</t>
        </is>
      </c>
      <c r="B617" s="1" t="n">
        <v>45541</v>
      </c>
      <c r="C617" s="1" t="n">
        <v>45564</v>
      </c>
      <c r="D617" t="inlineStr">
        <is>
          <t>DALARNAS LÄN</t>
        </is>
      </c>
      <c r="E617" t="inlineStr">
        <is>
          <t>HEDEMORA</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45564</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37806-2024</t>
        </is>
      </c>
      <c r="B619" s="1" t="n">
        <v>45543</v>
      </c>
      <c r="C619" s="1" t="n">
        <v>45564</v>
      </c>
      <c r="D619" t="inlineStr">
        <is>
          <t>DALARNAS LÄN</t>
        </is>
      </c>
      <c r="E619" t="inlineStr">
        <is>
          <t>HEDEMORA</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45564</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45564</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39530-2024</t>
        </is>
      </c>
      <c r="B622" s="1" t="n">
        <v>45551</v>
      </c>
      <c r="C622" s="1" t="n">
        <v>45564</v>
      </c>
      <c r="D622" t="inlineStr">
        <is>
          <t>DALARNAS LÄN</t>
        </is>
      </c>
      <c r="E622" t="inlineStr">
        <is>
          <t>HEDEMORA</t>
        </is>
      </c>
      <c r="F622" t="inlineStr">
        <is>
          <t>Bergvik skog väst AB</t>
        </is>
      </c>
      <c r="G622" t="n">
        <v>13.8</v>
      </c>
      <c r="H622" t="n">
        <v>0</v>
      </c>
      <c r="I622" t="n">
        <v>0</v>
      </c>
      <c r="J622" t="n">
        <v>0</v>
      </c>
      <c r="K622" t="n">
        <v>0</v>
      </c>
      <c r="L622" t="n">
        <v>0</v>
      </c>
      <c r="M622" t="n">
        <v>0</v>
      </c>
      <c r="N622" t="n">
        <v>0</v>
      </c>
      <c r="O622" t="n">
        <v>0</v>
      </c>
      <c r="P622" t="n">
        <v>0</v>
      </c>
      <c r="Q622" t="n">
        <v>0</v>
      </c>
      <c r="R622" s="2" t="inlineStr"/>
    </row>
    <row r="623" ht="15" customHeight="1">
      <c r="A623" t="inlineStr">
        <is>
          <t>A 39552-2024</t>
        </is>
      </c>
      <c r="B623" s="1" t="n">
        <v>45551</v>
      </c>
      <c r="C623" s="1" t="n">
        <v>45564</v>
      </c>
      <c r="D623" t="inlineStr">
        <is>
          <t>DALARNAS LÄN</t>
        </is>
      </c>
      <c r="E623" t="inlineStr">
        <is>
          <t>HEDEMORA</t>
        </is>
      </c>
      <c r="F623" t="inlineStr">
        <is>
          <t>Bergvik skog väst AB</t>
        </is>
      </c>
      <c r="G623" t="n">
        <v>24.1</v>
      </c>
      <c r="H623" t="n">
        <v>0</v>
      </c>
      <c r="I623" t="n">
        <v>0</v>
      </c>
      <c r="J623" t="n">
        <v>0</v>
      </c>
      <c r="K623" t="n">
        <v>0</v>
      </c>
      <c r="L623" t="n">
        <v>0</v>
      </c>
      <c r="M623" t="n">
        <v>0</v>
      </c>
      <c r="N623" t="n">
        <v>0</v>
      </c>
      <c r="O623" t="n">
        <v>0</v>
      </c>
      <c r="P623" t="n">
        <v>0</v>
      </c>
      <c r="Q623" t="n">
        <v>0</v>
      </c>
      <c r="R623" s="2" t="inlineStr"/>
    </row>
    <row r="624" ht="15" customHeight="1">
      <c r="A624" t="inlineStr">
        <is>
          <t>A 39531-2024</t>
        </is>
      </c>
      <c r="B624" s="1" t="n">
        <v>45551</v>
      </c>
      <c r="C624" s="1" t="n">
        <v>45564</v>
      </c>
      <c r="D624" t="inlineStr">
        <is>
          <t>DALARNAS LÄN</t>
        </is>
      </c>
      <c r="E624" t="inlineStr">
        <is>
          <t>HEDEMORA</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c r="A625" t="inlineStr">
        <is>
          <t>A 40801-2024</t>
        </is>
      </c>
      <c r="B625" s="1" t="n">
        <v>45558</v>
      </c>
      <c r="C625" s="1" t="n">
        <v>45564</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2024-09-29T12:07:48Z</dcterms:created>
  <dcterms:modified xmlns:dcterms="http://purl.org/dc/terms/" xmlns:xsi="http://www.w3.org/2001/XMLSchema-instance" xsi:type="dcterms:W3CDTF">2024-09-29T12:07:48Z</dcterms:modified>
</cp:coreProperties>
</file>